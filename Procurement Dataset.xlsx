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bri\Downloads\"/>
    </mc:Choice>
  </mc:AlternateContent>
  <xr:revisionPtr revIDLastSave="0" documentId="13_ncr:1_{7BF0A8EE-229F-4322-A25B-7A4A926A9C82}" xr6:coauthVersionLast="47" xr6:coauthVersionMax="47" xr10:uidLastSave="{00000000-0000-0000-0000-000000000000}"/>
  <bookViews>
    <workbookView xWindow="-120" yWindow="-120" windowWidth="29040" windowHeight="16440" activeTab="2" xr2:uid="{0D5BBAE3-5A07-44EC-938D-178911FB319D}"/>
  </bookViews>
  <sheets>
    <sheet name="raw data" sheetId="2" r:id="rId1"/>
    <sheet name="Procurement Dataset" sheetId="1" r:id="rId2"/>
    <sheet name="Lembar2" sheetId="3" r:id="rId3"/>
  </sheets>
  <definedNames>
    <definedName name="_xlnm._FilterDatabase" localSheetId="2" hidden="1">Lembar2!$A$3:$B$18</definedName>
    <definedName name="_xlnm._FilterDatabase" localSheetId="1" hidden="1">'Procurement Dataset'!$B$2:$B$778</definedName>
    <definedName name="_xlnm.Extract" localSheetId="1">Lembar2!$B$19</definedName>
  </definedNames>
  <calcPr calcId="181029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T14" i="1" s="1"/>
  <c r="P15" i="1"/>
  <c r="P16" i="1"/>
  <c r="P17" i="1"/>
  <c r="P18" i="1"/>
  <c r="P19" i="1"/>
  <c r="P20" i="1"/>
  <c r="P21" i="1"/>
  <c r="P22" i="1"/>
  <c r="P23" i="1"/>
  <c r="P24" i="1"/>
  <c r="T24" i="1" s="1"/>
  <c r="P25" i="1"/>
  <c r="P26" i="1"/>
  <c r="T26" i="1" s="1"/>
  <c r="P27" i="1"/>
  <c r="P28" i="1"/>
  <c r="P29" i="1"/>
  <c r="P30" i="1"/>
  <c r="P31" i="1"/>
  <c r="P32" i="1"/>
  <c r="P33" i="1"/>
  <c r="P34" i="1"/>
  <c r="P35" i="1"/>
  <c r="P36" i="1"/>
  <c r="T36" i="1" s="1"/>
  <c r="P37" i="1"/>
  <c r="P38" i="1"/>
  <c r="T38" i="1" s="1"/>
  <c r="P39" i="1"/>
  <c r="P40" i="1"/>
  <c r="P41" i="1"/>
  <c r="P42" i="1"/>
  <c r="P43" i="1"/>
  <c r="P44" i="1"/>
  <c r="P45" i="1"/>
  <c r="P46" i="1"/>
  <c r="P47" i="1"/>
  <c r="P48" i="1"/>
  <c r="T48" i="1" s="1"/>
  <c r="P49" i="1"/>
  <c r="P50" i="1"/>
  <c r="T50" i="1" s="1"/>
  <c r="P51" i="1"/>
  <c r="P52" i="1"/>
  <c r="P53" i="1"/>
  <c r="P54" i="1"/>
  <c r="P55" i="1"/>
  <c r="P56" i="1"/>
  <c r="P57" i="1"/>
  <c r="P58" i="1"/>
  <c r="P59" i="1"/>
  <c r="P60" i="1"/>
  <c r="T60" i="1" s="1"/>
  <c r="P61" i="1"/>
  <c r="P62" i="1"/>
  <c r="T62" i="1" s="1"/>
  <c r="P63" i="1"/>
  <c r="P64" i="1"/>
  <c r="P65" i="1"/>
  <c r="P66" i="1"/>
  <c r="P67" i="1"/>
  <c r="P68" i="1"/>
  <c r="P69" i="1"/>
  <c r="P70" i="1"/>
  <c r="P71" i="1"/>
  <c r="P72" i="1"/>
  <c r="T72" i="1" s="1"/>
  <c r="P73" i="1"/>
  <c r="P74" i="1"/>
  <c r="T74" i="1" s="1"/>
  <c r="P75" i="1"/>
  <c r="P76" i="1"/>
  <c r="P77" i="1"/>
  <c r="P78" i="1"/>
  <c r="P79" i="1"/>
  <c r="P80" i="1"/>
  <c r="P81" i="1"/>
  <c r="P82" i="1"/>
  <c r="P83" i="1"/>
  <c r="P84" i="1"/>
  <c r="T84" i="1" s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T108" i="1" s="1"/>
  <c r="P109" i="1"/>
  <c r="P110" i="1"/>
  <c r="T110" i="1" s="1"/>
  <c r="P111" i="1"/>
  <c r="P112" i="1"/>
  <c r="P113" i="1"/>
  <c r="P114" i="1"/>
  <c r="P115" i="1"/>
  <c r="P116" i="1"/>
  <c r="P117" i="1"/>
  <c r="P118" i="1"/>
  <c r="P119" i="1"/>
  <c r="P120" i="1"/>
  <c r="T120" i="1" s="1"/>
  <c r="P121" i="1"/>
  <c r="P122" i="1"/>
  <c r="T122" i="1" s="1"/>
  <c r="P123" i="1"/>
  <c r="P124" i="1"/>
  <c r="P125" i="1"/>
  <c r="P126" i="1"/>
  <c r="P127" i="1"/>
  <c r="P128" i="1"/>
  <c r="P129" i="1"/>
  <c r="P130" i="1"/>
  <c r="P131" i="1"/>
  <c r="P132" i="1"/>
  <c r="T132" i="1" s="1"/>
  <c r="P133" i="1"/>
  <c r="P134" i="1"/>
  <c r="T134" i="1" s="1"/>
  <c r="P135" i="1"/>
  <c r="P136" i="1"/>
  <c r="P137" i="1"/>
  <c r="P138" i="1"/>
  <c r="P139" i="1"/>
  <c r="P140" i="1"/>
  <c r="P141" i="1"/>
  <c r="P142" i="1"/>
  <c r="P143" i="1"/>
  <c r="P144" i="1"/>
  <c r="T144" i="1" s="1"/>
  <c r="P145" i="1"/>
  <c r="P146" i="1"/>
  <c r="T146" i="1" s="1"/>
  <c r="P147" i="1"/>
  <c r="P148" i="1"/>
  <c r="P149" i="1"/>
  <c r="P150" i="1"/>
  <c r="P151" i="1"/>
  <c r="P152" i="1"/>
  <c r="P153" i="1"/>
  <c r="P154" i="1"/>
  <c r="P155" i="1"/>
  <c r="P156" i="1"/>
  <c r="T156" i="1" s="1"/>
  <c r="P157" i="1"/>
  <c r="P158" i="1"/>
  <c r="T158" i="1" s="1"/>
  <c r="P159" i="1"/>
  <c r="P160" i="1"/>
  <c r="P161" i="1"/>
  <c r="P162" i="1"/>
  <c r="P163" i="1"/>
  <c r="P164" i="1"/>
  <c r="P165" i="1"/>
  <c r="P166" i="1"/>
  <c r="P167" i="1"/>
  <c r="P168" i="1"/>
  <c r="T168" i="1" s="1"/>
  <c r="P169" i="1"/>
  <c r="P170" i="1"/>
  <c r="P171" i="1"/>
  <c r="P172" i="1"/>
  <c r="P173" i="1"/>
  <c r="P174" i="1"/>
  <c r="P175" i="1"/>
  <c r="P176" i="1"/>
  <c r="P177" i="1"/>
  <c r="P178" i="1"/>
  <c r="P179" i="1"/>
  <c r="P180" i="1"/>
  <c r="T180" i="1" s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T194" i="1" s="1"/>
  <c r="P195" i="1"/>
  <c r="P196" i="1"/>
  <c r="P197" i="1"/>
  <c r="P198" i="1"/>
  <c r="P199" i="1"/>
  <c r="P200" i="1"/>
  <c r="P201" i="1"/>
  <c r="P202" i="1"/>
  <c r="P203" i="1"/>
  <c r="P204" i="1"/>
  <c r="T204" i="1" s="1"/>
  <c r="P205" i="1"/>
  <c r="P206" i="1"/>
  <c r="T206" i="1" s="1"/>
  <c r="P207" i="1"/>
  <c r="P208" i="1"/>
  <c r="P209" i="1"/>
  <c r="P210" i="1"/>
  <c r="P211" i="1"/>
  <c r="P212" i="1"/>
  <c r="P213" i="1"/>
  <c r="P214" i="1"/>
  <c r="P215" i="1"/>
  <c r="P216" i="1"/>
  <c r="T216" i="1" s="1"/>
  <c r="P217" i="1"/>
  <c r="P218" i="1"/>
  <c r="T218" i="1" s="1"/>
  <c r="P219" i="1"/>
  <c r="P220" i="1"/>
  <c r="P221" i="1"/>
  <c r="P222" i="1"/>
  <c r="P223" i="1"/>
  <c r="P224" i="1"/>
  <c r="P225" i="1"/>
  <c r="P226" i="1"/>
  <c r="P227" i="1"/>
  <c r="P228" i="1"/>
  <c r="T228" i="1" s="1"/>
  <c r="P229" i="1"/>
  <c r="P230" i="1"/>
  <c r="T230" i="1" s="1"/>
  <c r="P231" i="1"/>
  <c r="P232" i="1"/>
  <c r="P233" i="1"/>
  <c r="P234" i="1"/>
  <c r="P235" i="1"/>
  <c r="P236" i="1"/>
  <c r="P237" i="1"/>
  <c r="P238" i="1"/>
  <c r="P239" i="1"/>
  <c r="P240" i="1"/>
  <c r="T240" i="1" s="1"/>
  <c r="P241" i="1"/>
  <c r="P242" i="1"/>
  <c r="T242" i="1" s="1"/>
  <c r="P243" i="1"/>
  <c r="P244" i="1"/>
  <c r="P245" i="1"/>
  <c r="P246" i="1"/>
  <c r="P247" i="1"/>
  <c r="P248" i="1"/>
  <c r="P249" i="1"/>
  <c r="P250" i="1"/>
  <c r="P251" i="1"/>
  <c r="P252" i="1"/>
  <c r="T252" i="1" s="1"/>
  <c r="P253" i="1"/>
  <c r="P254" i="1"/>
  <c r="T254" i="1" s="1"/>
  <c r="P255" i="1"/>
  <c r="P256" i="1"/>
  <c r="P257" i="1"/>
  <c r="P258" i="1"/>
  <c r="P259" i="1"/>
  <c r="P260" i="1"/>
  <c r="P261" i="1"/>
  <c r="P262" i="1"/>
  <c r="P263" i="1"/>
  <c r="P264" i="1"/>
  <c r="P265" i="1"/>
  <c r="P266" i="1"/>
  <c r="T266" i="1" s="1"/>
  <c r="P267" i="1"/>
  <c r="P268" i="1"/>
  <c r="P269" i="1"/>
  <c r="P270" i="1"/>
  <c r="P271" i="1"/>
  <c r="P272" i="1"/>
  <c r="P273" i="1"/>
  <c r="P274" i="1"/>
  <c r="P275" i="1"/>
  <c r="P276" i="1"/>
  <c r="T276" i="1" s="1"/>
  <c r="P277" i="1"/>
  <c r="P278" i="1"/>
  <c r="T278" i="1" s="1"/>
  <c r="P279" i="1"/>
  <c r="P280" i="1"/>
  <c r="P281" i="1"/>
  <c r="P282" i="1"/>
  <c r="P283" i="1"/>
  <c r="P284" i="1"/>
  <c r="P285" i="1"/>
  <c r="P286" i="1"/>
  <c r="P287" i="1"/>
  <c r="P288" i="1"/>
  <c r="T288" i="1" s="1"/>
  <c r="P289" i="1"/>
  <c r="P290" i="1"/>
  <c r="T290" i="1" s="1"/>
  <c r="P291" i="1"/>
  <c r="P292" i="1"/>
  <c r="P293" i="1"/>
  <c r="P294" i="1"/>
  <c r="P295" i="1"/>
  <c r="P296" i="1"/>
  <c r="P297" i="1"/>
  <c r="P298" i="1"/>
  <c r="P299" i="1"/>
  <c r="P300" i="1"/>
  <c r="T300" i="1" s="1"/>
  <c r="P301" i="1"/>
  <c r="P302" i="1"/>
  <c r="T302" i="1" s="1"/>
  <c r="P303" i="1"/>
  <c r="P304" i="1"/>
  <c r="P305" i="1"/>
  <c r="P306" i="1"/>
  <c r="P307" i="1"/>
  <c r="P308" i="1"/>
  <c r="P309" i="1"/>
  <c r="P310" i="1"/>
  <c r="P311" i="1"/>
  <c r="P312" i="1"/>
  <c r="T312" i="1" s="1"/>
  <c r="P313" i="1"/>
  <c r="P314" i="1"/>
  <c r="T314" i="1" s="1"/>
  <c r="P315" i="1"/>
  <c r="P316" i="1"/>
  <c r="P317" i="1"/>
  <c r="P318" i="1"/>
  <c r="P319" i="1"/>
  <c r="P320" i="1"/>
  <c r="P321" i="1"/>
  <c r="P322" i="1"/>
  <c r="P323" i="1"/>
  <c r="P324" i="1"/>
  <c r="T324" i="1" s="1"/>
  <c r="P325" i="1"/>
  <c r="P326" i="1"/>
  <c r="T326" i="1" s="1"/>
  <c r="P327" i="1"/>
  <c r="P328" i="1"/>
  <c r="P329" i="1"/>
  <c r="P330" i="1"/>
  <c r="P331" i="1"/>
  <c r="P332" i="1"/>
  <c r="P333" i="1"/>
  <c r="P334" i="1"/>
  <c r="P335" i="1"/>
  <c r="P336" i="1"/>
  <c r="T336" i="1" s="1"/>
  <c r="P337" i="1"/>
  <c r="P338" i="1"/>
  <c r="T338" i="1" s="1"/>
  <c r="P339" i="1"/>
  <c r="P340" i="1"/>
  <c r="P341" i="1"/>
  <c r="P342" i="1"/>
  <c r="P343" i="1"/>
  <c r="P344" i="1"/>
  <c r="P345" i="1"/>
  <c r="P346" i="1"/>
  <c r="P347" i="1"/>
  <c r="P348" i="1"/>
  <c r="T348" i="1" s="1"/>
  <c r="P349" i="1"/>
  <c r="P350" i="1"/>
  <c r="P351" i="1"/>
  <c r="P352" i="1"/>
  <c r="P353" i="1"/>
  <c r="P354" i="1"/>
  <c r="P355" i="1"/>
  <c r="P356" i="1"/>
  <c r="P357" i="1"/>
  <c r="P358" i="1"/>
  <c r="P359" i="1"/>
  <c r="P360" i="1"/>
  <c r="T360" i="1" s="1"/>
  <c r="P361" i="1"/>
  <c r="P362" i="1"/>
  <c r="T362" i="1" s="1"/>
  <c r="P363" i="1"/>
  <c r="P364" i="1"/>
  <c r="P365" i="1"/>
  <c r="P366" i="1"/>
  <c r="P367" i="1"/>
  <c r="P368" i="1"/>
  <c r="P369" i="1"/>
  <c r="P370" i="1"/>
  <c r="P371" i="1"/>
  <c r="P372" i="1"/>
  <c r="T372" i="1" s="1"/>
  <c r="P373" i="1"/>
  <c r="P374" i="1"/>
  <c r="T374" i="1" s="1"/>
  <c r="P375" i="1"/>
  <c r="P376" i="1"/>
  <c r="P377" i="1"/>
  <c r="P378" i="1"/>
  <c r="P379" i="1"/>
  <c r="P380" i="1"/>
  <c r="P381" i="1"/>
  <c r="P382" i="1"/>
  <c r="P383" i="1"/>
  <c r="P384" i="1"/>
  <c r="T384" i="1" s="1"/>
  <c r="P385" i="1"/>
  <c r="P386" i="1"/>
  <c r="T386" i="1" s="1"/>
  <c r="P387" i="1"/>
  <c r="P388" i="1"/>
  <c r="P389" i="1"/>
  <c r="P390" i="1"/>
  <c r="P391" i="1"/>
  <c r="P392" i="1"/>
  <c r="P393" i="1"/>
  <c r="P394" i="1"/>
  <c r="P395" i="1"/>
  <c r="P396" i="1"/>
  <c r="T396" i="1" s="1"/>
  <c r="P397" i="1"/>
  <c r="P398" i="1"/>
  <c r="T398" i="1" s="1"/>
  <c r="P399" i="1"/>
  <c r="P400" i="1"/>
  <c r="P401" i="1"/>
  <c r="P402" i="1"/>
  <c r="P403" i="1"/>
  <c r="P404" i="1"/>
  <c r="P405" i="1"/>
  <c r="P406" i="1"/>
  <c r="P407" i="1"/>
  <c r="P408" i="1"/>
  <c r="T408" i="1" s="1"/>
  <c r="P409" i="1"/>
  <c r="P410" i="1"/>
  <c r="T410" i="1" s="1"/>
  <c r="P411" i="1"/>
  <c r="P412" i="1"/>
  <c r="P413" i="1"/>
  <c r="P414" i="1"/>
  <c r="P415" i="1"/>
  <c r="P416" i="1"/>
  <c r="P417" i="1"/>
  <c r="P418" i="1"/>
  <c r="P419" i="1"/>
  <c r="P420" i="1"/>
  <c r="P421" i="1"/>
  <c r="P422" i="1"/>
  <c r="T422" i="1" s="1"/>
  <c r="P423" i="1"/>
  <c r="P424" i="1"/>
  <c r="P425" i="1"/>
  <c r="P426" i="1"/>
  <c r="P427" i="1"/>
  <c r="P428" i="1"/>
  <c r="P429" i="1"/>
  <c r="P430" i="1"/>
  <c r="P431" i="1"/>
  <c r="P432" i="1"/>
  <c r="T432" i="1" s="1"/>
  <c r="P433" i="1"/>
  <c r="P434" i="1"/>
  <c r="T434" i="1" s="1"/>
  <c r="P435" i="1"/>
  <c r="P436" i="1"/>
  <c r="P437" i="1"/>
  <c r="P438" i="1"/>
  <c r="P439" i="1"/>
  <c r="P440" i="1"/>
  <c r="P441" i="1"/>
  <c r="P442" i="1"/>
  <c r="P443" i="1"/>
  <c r="P444" i="1"/>
  <c r="T444" i="1" s="1"/>
  <c r="P445" i="1"/>
  <c r="P446" i="1"/>
  <c r="T446" i="1" s="1"/>
  <c r="P447" i="1"/>
  <c r="P448" i="1"/>
  <c r="P449" i="1"/>
  <c r="P450" i="1"/>
  <c r="P451" i="1"/>
  <c r="P452" i="1"/>
  <c r="P453" i="1"/>
  <c r="P454" i="1"/>
  <c r="P455" i="1"/>
  <c r="P456" i="1"/>
  <c r="T456" i="1" s="1"/>
  <c r="P457" i="1"/>
  <c r="P458" i="1"/>
  <c r="T458" i="1" s="1"/>
  <c r="P459" i="1"/>
  <c r="P460" i="1"/>
  <c r="P461" i="1"/>
  <c r="P462" i="1"/>
  <c r="P463" i="1"/>
  <c r="P464" i="1"/>
  <c r="P465" i="1"/>
  <c r="P466" i="1"/>
  <c r="P467" i="1"/>
  <c r="P468" i="1"/>
  <c r="T468" i="1" s="1"/>
  <c r="P469" i="1"/>
  <c r="P470" i="1"/>
  <c r="T470" i="1" s="1"/>
  <c r="P471" i="1"/>
  <c r="P472" i="1"/>
  <c r="P473" i="1"/>
  <c r="P474" i="1"/>
  <c r="P475" i="1"/>
  <c r="P476" i="1"/>
  <c r="P477" i="1"/>
  <c r="P478" i="1"/>
  <c r="P479" i="1"/>
  <c r="P480" i="1"/>
  <c r="T480" i="1" s="1"/>
  <c r="P481" i="1"/>
  <c r="P482" i="1"/>
  <c r="T482" i="1" s="1"/>
  <c r="P483" i="1"/>
  <c r="P484" i="1"/>
  <c r="P485" i="1"/>
  <c r="P486" i="1"/>
  <c r="P487" i="1"/>
  <c r="P488" i="1"/>
  <c r="P489" i="1"/>
  <c r="P490" i="1"/>
  <c r="P491" i="1"/>
  <c r="P492" i="1"/>
  <c r="T492" i="1" s="1"/>
  <c r="P493" i="1"/>
  <c r="P494" i="1"/>
  <c r="T494" i="1" s="1"/>
  <c r="P495" i="1"/>
  <c r="P496" i="1"/>
  <c r="P497" i="1"/>
  <c r="P498" i="1"/>
  <c r="P499" i="1"/>
  <c r="P500" i="1"/>
  <c r="P501" i="1"/>
  <c r="P502" i="1"/>
  <c r="P503" i="1"/>
  <c r="P504" i="1"/>
  <c r="T504" i="1" s="1"/>
  <c r="P505" i="1"/>
  <c r="P506" i="1"/>
  <c r="T506" i="1" s="1"/>
  <c r="P507" i="1"/>
  <c r="P508" i="1"/>
  <c r="P509" i="1"/>
  <c r="P510" i="1"/>
  <c r="P511" i="1"/>
  <c r="P512" i="1"/>
  <c r="P513" i="1"/>
  <c r="P514" i="1"/>
  <c r="P515" i="1"/>
  <c r="P516" i="1"/>
  <c r="T516" i="1" s="1"/>
  <c r="P517" i="1"/>
  <c r="P518" i="1"/>
  <c r="T518" i="1" s="1"/>
  <c r="P519" i="1"/>
  <c r="P520" i="1"/>
  <c r="P521" i="1"/>
  <c r="P522" i="1"/>
  <c r="P523" i="1"/>
  <c r="P524" i="1"/>
  <c r="P525" i="1"/>
  <c r="P526" i="1"/>
  <c r="P527" i="1"/>
  <c r="P528" i="1"/>
  <c r="T528" i="1" s="1"/>
  <c r="P529" i="1"/>
  <c r="P530" i="1"/>
  <c r="T530" i="1" s="1"/>
  <c r="P531" i="1"/>
  <c r="P532" i="1"/>
  <c r="P533" i="1"/>
  <c r="P534" i="1"/>
  <c r="P535" i="1"/>
  <c r="P536" i="1"/>
  <c r="P537" i="1"/>
  <c r="P538" i="1"/>
  <c r="P539" i="1"/>
  <c r="P540" i="1"/>
  <c r="P541" i="1"/>
  <c r="P542" i="1"/>
  <c r="T542" i="1" s="1"/>
  <c r="P543" i="1"/>
  <c r="P544" i="1"/>
  <c r="P545" i="1"/>
  <c r="P546" i="1"/>
  <c r="P547" i="1"/>
  <c r="P548" i="1"/>
  <c r="P549" i="1"/>
  <c r="P550" i="1"/>
  <c r="P551" i="1"/>
  <c r="P552" i="1"/>
  <c r="T552" i="1" s="1"/>
  <c r="P553" i="1"/>
  <c r="P554" i="1"/>
  <c r="T554" i="1" s="1"/>
  <c r="P555" i="1"/>
  <c r="P556" i="1"/>
  <c r="P557" i="1"/>
  <c r="P558" i="1"/>
  <c r="P559" i="1"/>
  <c r="P560" i="1"/>
  <c r="P561" i="1"/>
  <c r="P562" i="1"/>
  <c r="P563" i="1"/>
  <c r="P564" i="1"/>
  <c r="T564" i="1" s="1"/>
  <c r="P565" i="1"/>
  <c r="P566" i="1"/>
  <c r="T566" i="1" s="1"/>
  <c r="P567" i="1"/>
  <c r="P568" i="1"/>
  <c r="P569" i="1"/>
  <c r="P570" i="1"/>
  <c r="P571" i="1"/>
  <c r="T571" i="1" s="1"/>
  <c r="P572" i="1"/>
  <c r="P573" i="1"/>
  <c r="P574" i="1"/>
  <c r="P575" i="1"/>
  <c r="P576" i="1"/>
  <c r="T576" i="1" s="1"/>
  <c r="P577" i="1"/>
  <c r="P578" i="1"/>
  <c r="T578" i="1" s="1"/>
  <c r="P579" i="1"/>
  <c r="P580" i="1"/>
  <c r="P581" i="1"/>
  <c r="P582" i="1"/>
  <c r="P583" i="1"/>
  <c r="P584" i="1"/>
  <c r="P585" i="1"/>
  <c r="P586" i="1"/>
  <c r="P587" i="1"/>
  <c r="P588" i="1"/>
  <c r="T588" i="1" s="1"/>
  <c r="P589" i="1"/>
  <c r="P590" i="1"/>
  <c r="T590" i="1" s="1"/>
  <c r="P591" i="1"/>
  <c r="P592" i="1"/>
  <c r="P593" i="1"/>
  <c r="P594" i="1"/>
  <c r="P595" i="1"/>
  <c r="T595" i="1" s="1"/>
  <c r="P596" i="1"/>
  <c r="P597" i="1"/>
  <c r="P598" i="1"/>
  <c r="P599" i="1"/>
  <c r="P600" i="1"/>
  <c r="T600" i="1" s="1"/>
  <c r="P601" i="1"/>
  <c r="P602" i="1"/>
  <c r="T602" i="1" s="1"/>
  <c r="P603" i="1"/>
  <c r="P604" i="1"/>
  <c r="T604" i="1" s="1"/>
  <c r="P605" i="1"/>
  <c r="P606" i="1"/>
  <c r="P607" i="1"/>
  <c r="T607" i="1" s="1"/>
  <c r="P608" i="1"/>
  <c r="P609" i="1"/>
  <c r="P610" i="1"/>
  <c r="P611" i="1"/>
  <c r="P612" i="1"/>
  <c r="T612" i="1" s="1"/>
  <c r="P613" i="1"/>
  <c r="P614" i="1"/>
  <c r="T614" i="1" s="1"/>
  <c r="P615" i="1"/>
  <c r="P616" i="1"/>
  <c r="T616" i="1" s="1"/>
  <c r="P617" i="1"/>
  <c r="P618" i="1"/>
  <c r="P619" i="1"/>
  <c r="T619" i="1" s="1"/>
  <c r="P620" i="1"/>
  <c r="P621" i="1"/>
  <c r="P622" i="1"/>
  <c r="P623" i="1"/>
  <c r="P624" i="1"/>
  <c r="T624" i="1" s="1"/>
  <c r="P625" i="1"/>
  <c r="P626" i="1"/>
  <c r="T626" i="1" s="1"/>
  <c r="P627" i="1"/>
  <c r="P628" i="1"/>
  <c r="T628" i="1" s="1"/>
  <c r="P629" i="1"/>
  <c r="P630" i="1"/>
  <c r="P631" i="1"/>
  <c r="T631" i="1" s="1"/>
  <c r="P632" i="1"/>
  <c r="P633" i="1"/>
  <c r="P634" i="1"/>
  <c r="P635" i="1"/>
  <c r="P636" i="1"/>
  <c r="T636" i="1" s="1"/>
  <c r="P637" i="1"/>
  <c r="P638" i="1"/>
  <c r="P639" i="1"/>
  <c r="P640" i="1"/>
  <c r="P641" i="1"/>
  <c r="P642" i="1"/>
  <c r="P643" i="1"/>
  <c r="P644" i="1"/>
  <c r="P645" i="1"/>
  <c r="P646" i="1"/>
  <c r="P647" i="1"/>
  <c r="P648" i="1"/>
  <c r="T648" i="1" s="1"/>
  <c r="P649" i="1"/>
  <c r="P650" i="1"/>
  <c r="T650" i="1" s="1"/>
  <c r="P651" i="1"/>
  <c r="P652" i="1"/>
  <c r="P653" i="1"/>
  <c r="P654" i="1"/>
  <c r="P655" i="1"/>
  <c r="T655" i="1" s="1"/>
  <c r="P656" i="1"/>
  <c r="P657" i="1"/>
  <c r="P658" i="1"/>
  <c r="P659" i="1"/>
  <c r="P660" i="1"/>
  <c r="T660" i="1" s="1"/>
  <c r="P661" i="1"/>
  <c r="P662" i="1"/>
  <c r="T662" i="1" s="1"/>
  <c r="P663" i="1"/>
  <c r="P664" i="1"/>
  <c r="P665" i="1"/>
  <c r="P666" i="1"/>
  <c r="P667" i="1"/>
  <c r="T667" i="1" s="1"/>
  <c r="P668" i="1"/>
  <c r="P669" i="1"/>
  <c r="P670" i="1"/>
  <c r="P671" i="1"/>
  <c r="P672" i="1"/>
  <c r="T672" i="1" s="1"/>
  <c r="P673" i="1"/>
  <c r="P674" i="1"/>
  <c r="T674" i="1" s="1"/>
  <c r="P675" i="1"/>
  <c r="P676" i="1"/>
  <c r="T676" i="1" s="1"/>
  <c r="P677" i="1"/>
  <c r="P678" i="1"/>
  <c r="P679" i="1"/>
  <c r="P680" i="1"/>
  <c r="P681" i="1"/>
  <c r="P682" i="1"/>
  <c r="P683" i="1"/>
  <c r="P684" i="1"/>
  <c r="T684" i="1" s="1"/>
  <c r="P685" i="1"/>
  <c r="P686" i="1"/>
  <c r="T686" i="1" s="1"/>
  <c r="P687" i="1"/>
  <c r="P688" i="1"/>
  <c r="P689" i="1"/>
  <c r="P690" i="1"/>
  <c r="P691" i="1"/>
  <c r="P692" i="1"/>
  <c r="P693" i="1"/>
  <c r="P694" i="1"/>
  <c r="P695" i="1"/>
  <c r="P696" i="1"/>
  <c r="T696" i="1" s="1"/>
  <c r="P697" i="1"/>
  <c r="P698" i="1"/>
  <c r="T698" i="1" s="1"/>
  <c r="P699" i="1"/>
  <c r="P700" i="1"/>
  <c r="T700" i="1" s="1"/>
  <c r="P701" i="1"/>
  <c r="P702" i="1"/>
  <c r="P703" i="1"/>
  <c r="P704" i="1"/>
  <c r="P705" i="1"/>
  <c r="P706" i="1"/>
  <c r="P707" i="1"/>
  <c r="P708" i="1"/>
  <c r="P709" i="1"/>
  <c r="P710" i="1"/>
  <c r="T710" i="1" s="1"/>
  <c r="P711" i="1"/>
  <c r="P712" i="1"/>
  <c r="P713" i="1"/>
  <c r="P714" i="1"/>
  <c r="P715" i="1"/>
  <c r="T715" i="1" s="1"/>
  <c r="P716" i="1"/>
  <c r="P717" i="1"/>
  <c r="P718" i="1"/>
  <c r="P719" i="1"/>
  <c r="P720" i="1"/>
  <c r="T720" i="1" s="1"/>
  <c r="P721" i="1"/>
  <c r="P722" i="1"/>
  <c r="P723" i="1"/>
  <c r="P724" i="1"/>
  <c r="T724" i="1" s="1"/>
  <c r="P725" i="1"/>
  <c r="P726" i="1"/>
  <c r="P727" i="1"/>
  <c r="P728" i="1"/>
  <c r="P729" i="1"/>
  <c r="P730" i="1"/>
  <c r="P731" i="1"/>
  <c r="P732" i="1"/>
  <c r="P733" i="1"/>
  <c r="P734" i="1"/>
  <c r="T734" i="1" s="1"/>
  <c r="P735" i="1"/>
  <c r="P736" i="1"/>
  <c r="P737" i="1"/>
  <c r="P738" i="1"/>
  <c r="P739" i="1"/>
  <c r="T739" i="1" s="1"/>
  <c r="P740" i="1"/>
  <c r="P741" i="1"/>
  <c r="P742" i="1"/>
  <c r="P743" i="1"/>
  <c r="P744" i="1"/>
  <c r="T744" i="1" s="1"/>
  <c r="P745" i="1"/>
  <c r="P746" i="1"/>
  <c r="T746" i="1" s="1"/>
  <c r="P747" i="1"/>
  <c r="P748" i="1"/>
  <c r="T748" i="1" s="1"/>
  <c r="P749" i="1"/>
  <c r="P750" i="1"/>
  <c r="P751" i="1"/>
  <c r="T751" i="1" s="1"/>
  <c r="P752" i="1"/>
  <c r="P753" i="1"/>
  <c r="P754" i="1"/>
  <c r="P755" i="1"/>
  <c r="P756" i="1"/>
  <c r="T756" i="1" s="1"/>
  <c r="P757" i="1"/>
  <c r="P758" i="1"/>
  <c r="P759" i="1"/>
  <c r="P760" i="1"/>
  <c r="P761" i="1"/>
  <c r="P762" i="1"/>
  <c r="P763" i="1"/>
  <c r="P764" i="1"/>
  <c r="P765" i="1"/>
  <c r="P766" i="1"/>
  <c r="P767" i="1"/>
  <c r="P768" i="1"/>
  <c r="T768" i="1" s="1"/>
  <c r="P769" i="1"/>
  <c r="P770" i="1"/>
  <c r="T770" i="1" s="1"/>
  <c r="P771" i="1"/>
  <c r="P772" i="1"/>
  <c r="P773" i="1"/>
  <c r="P774" i="1"/>
  <c r="P775" i="1"/>
  <c r="P776" i="1"/>
  <c r="P777" i="1"/>
  <c r="P778" i="1"/>
  <c r="P2" i="1"/>
  <c r="T10" i="1"/>
  <c r="T22" i="1"/>
  <c r="T34" i="1"/>
  <c r="T46" i="1"/>
  <c r="T58" i="1"/>
  <c r="T70" i="1"/>
  <c r="T86" i="1"/>
  <c r="T94" i="1"/>
  <c r="T98" i="1"/>
  <c r="T106" i="1"/>
  <c r="T130" i="1"/>
  <c r="T142" i="1"/>
  <c r="T154" i="1"/>
  <c r="T170" i="1"/>
  <c r="T178" i="1"/>
  <c r="T182" i="1"/>
  <c r="T190" i="1"/>
  <c r="T214" i="1"/>
  <c r="T226" i="1"/>
  <c r="T238" i="1"/>
  <c r="T241" i="1"/>
  <c r="T250" i="1"/>
  <c r="T262" i="1"/>
  <c r="T265" i="1"/>
  <c r="T274" i="1"/>
  <c r="T310" i="1"/>
  <c r="T318" i="1"/>
  <c r="T334" i="1"/>
  <c r="T346" i="1"/>
  <c r="T350" i="1"/>
  <c r="T370" i="1"/>
  <c r="T382" i="1"/>
  <c r="T385" i="1"/>
  <c r="T397" i="1"/>
  <c r="T418" i="1"/>
  <c r="T430" i="1"/>
  <c r="T433" i="1"/>
  <c r="T442" i="1"/>
  <c r="T445" i="1"/>
  <c r="T457" i="1"/>
  <c r="T462" i="1"/>
  <c r="T478" i="1"/>
  <c r="T481" i="1"/>
  <c r="T490" i="1"/>
  <c r="T493" i="1"/>
  <c r="T502" i="1"/>
  <c r="T505" i="1"/>
  <c r="T514" i="1"/>
  <c r="T517" i="1"/>
  <c r="T519" i="1"/>
  <c r="T526" i="1"/>
  <c r="T538" i="1"/>
  <c r="T541" i="1"/>
  <c r="T550" i="1"/>
  <c r="T553" i="1"/>
  <c r="T555" i="1"/>
  <c r="T562" i="1"/>
  <c r="T565" i="1"/>
  <c r="T567" i="1"/>
  <c r="T574" i="1"/>
  <c r="T579" i="1"/>
  <c r="T598" i="1"/>
  <c r="T601" i="1"/>
  <c r="T606" i="1"/>
  <c r="T610" i="1"/>
  <c r="T613" i="1"/>
  <c r="T618" i="1"/>
  <c r="T627" i="1"/>
  <c r="T634" i="1"/>
  <c r="T637" i="1"/>
  <c r="T638" i="1"/>
  <c r="T639" i="1"/>
  <c r="T646" i="1"/>
  <c r="T651" i="1"/>
  <c r="T658" i="1"/>
  <c r="T666" i="1"/>
  <c r="T670" i="1"/>
  <c r="T673" i="1"/>
  <c r="T675" i="1"/>
  <c r="T678" i="1"/>
  <c r="T685" i="1"/>
  <c r="T687" i="1"/>
  <c r="T690" i="1"/>
  <c r="T702" i="1"/>
  <c r="T706" i="1"/>
  <c r="T709" i="1"/>
  <c r="T718" i="1"/>
  <c r="T721" i="1"/>
  <c r="T722" i="1"/>
  <c r="T723" i="1"/>
  <c r="T726" i="1"/>
  <c r="T730" i="1"/>
  <c r="T733" i="1"/>
  <c r="T738" i="1"/>
  <c r="T745" i="1"/>
  <c r="T750" i="1"/>
  <c r="T754" i="1"/>
  <c r="T757" i="1"/>
  <c r="T758" i="1"/>
  <c r="T759" i="1"/>
  <c r="T762" i="1"/>
  <c r="T766" i="1"/>
  <c r="T769" i="1"/>
  <c r="T771" i="1"/>
  <c r="T774" i="1"/>
  <c r="T778" i="1"/>
  <c r="T2" i="1"/>
  <c r="T6" i="1"/>
  <c r="T7" i="1"/>
  <c r="T8" i="1"/>
  <c r="T19" i="1"/>
  <c r="T20" i="1"/>
  <c r="T23" i="1"/>
  <c r="T25" i="1"/>
  <c r="T31" i="1"/>
  <c r="T32" i="1"/>
  <c r="T37" i="1"/>
  <c r="T43" i="1"/>
  <c r="T44" i="1"/>
  <c r="T55" i="1"/>
  <c r="T56" i="1"/>
  <c r="T66" i="1"/>
  <c r="T67" i="1"/>
  <c r="T68" i="1"/>
  <c r="T79" i="1"/>
  <c r="T80" i="1"/>
  <c r="T82" i="1"/>
  <c r="T91" i="1"/>
  <c r="T92" i="1"/>
  <c r="T95" i="1"/>
  <c r="T96" i="1"/>
  <c r="T103" i="1"/>
  <c r="T104" i="1"/>
  <c r="T109" i="1"/>
  <c r="T115" i="1"/>
  <c r="T116" i="1"/>
  <c r="T127" i="1"/>
  <c r="T128" i="1"/>
  <c r="T138" i="1"/>
  <c r="T139" i="1"/>
  <c r="T140" i="1"/>
  <c r="T151" i="1"/>
  <c r="T152" i="1"/>
  <c r="T163" i="1"/>
  <c r="T164" i="1"/>
  <c r="T167" i="1"/>
  <c r="T175" i="1"/>
  <c r="T176" i="1"/>
  <c r="T181" i="1"/>
  <c r="T187" i="1"/>
  <c r="T188" i="1"/>
  <c r="T199" i="1"/>
  <c r="T200" i="1"/>
  <c r="T210" i="1"/>
  <c r="T211" i="1"/>
  <c r="T212" i="1"/>
  <c r="T223" i="1"/>
  <c r="T224" i="1"/>
  <c r="T235" i="1"/>
  <c r="T236" i="1"/>
  <c r="T239" i="1"/>
  <c r="T247" i="1"/>
  <c r="T253" i="1"/>
  <c r="T259" i="1"/>
  <c r="T271" i="1"/>
  <c r="T283" i="1"/>
  <c r="T295" i="1"/>
  <c r="T307" i="1"/>
  <c r="T319" i="1"/>
  <c r="T330" i="1"/>
  <c r="T331" i="1"/>
  <c r="T332" i="1"/>
  <c r="T343" i="1"/>
  <c r="T344" i="1"/>
  <c r="T355" i="1"/>
  <c r="T358" i="1"/>
  <c r="T367" i="1"/>
  <c r="T371" i="1"/>
  <c r="T379" i="1"/>
  <c r="T383" i="1"/>
  <c r="T391" i="1"/>
  <c r="T403" i="1"/>
  <c r="T409" i="1"/>
  <c r="T415" i="1"/>
  <c r="T427" i="1"/>
  <c r="T439" i="1"/>
  <c r="T451" i="1"/>
  <c r="T463" i="1"/>
  <c r="T464" i="1"/>
  <c r="T474" i="1"/>
  <c r="T475" i="1"/>
  <c r="T476" i="1"/>
  <c r="T487" i="1"/>
  <c r="T488" i="1"/>
  <c r="T489" i="1"/>
  <c r="T499" i="1"/>
  <c r="T501" i="1"/>
  <c r="T503" i="1"/>
  <c r="T511" i="1"/>
  <c r="T515" i="1"/>
  <c r="T523" i="1"/>
  <c r="T527" i="1"/>
  <c r="T529" i="1"/>
  <c r="T535" i="1"/>
  <c r="T540" i="1"/>
  <c r="T547" i="1"/>
  <c r="T559" i="1"/>
  <c r="T583" i="1"/>
  <c r="T608" i="1"/>
  <c r="T620" i="1"/>
  <c r="T625" i="1"/>
  <c r="T632" i="1"/>
  <c r="T633" i="1"/>
  <c r="T643" i="1"/>
  <c r="T645" i="1"/>
  <c r="T647" i="1"/>
  <c r="T659" i="1"/>
  <c r="T661" i="1"/>
  <c r="T671" i="1"/>
  <c r="T679" i="1"/>
  <c r="T691" i="1"/>
  <c r="T697" i="1"/>
  <c r="T703" i="1"/>
  <c r="T704" i="1"/>
  <c r="T727" i="1"/>
  <c r="T740" i="1"/>
  <c r="T743" i="1"/>
  <c r="T752" i="1"/>
  <c r="T763" i="1"/>
  <c r="T764" i="1"/>
  <c r="T775" i="1"/>
  <c r="T776" i="1"/>
  <c r="T777" i="1"/>
  <c r="T3" i="1"/>
  <c r="T4" i="1"/>
  <c r="T5" i="1"/>
  <c r="T9" i="1"/>
  <c r="T11" i="1"/>
  <c r="T12" i="1"/>
  <c r="T13" i="1"/>
  <c r="T15" i="1"/>
  <c r="T16" i="1"/>
  <c r="T17" i="1"/>
  <c r="T18" i="1"/>
  <c r="T21" i="1"/>
  <c r="T27" i="1"/>
  <c r="T28" i="1"/>
  <c r="T29" i="1"/>
  <c r="T30" i="1"/>
  <c r="T33" i="1"/>
  <c r="T35" i="1"/>
  <c r="T39" i="1"/>
  <c r="T40" i="1"/>
  <c r="T41" i="1"/>
  <c r="T42" i="1"/>
  <c r="T45" i="1"/>
  <c r="T47" i="1"/>
  <c r="T49" i="1"/>
  <c r="T51" i="1"/>
  <c r="T52" i="1"/>
  <c r="T53" i="1"/>
  <c r="T54" i="1"/>
  <c r="T57" i="1"/>
  <c r="T59" i="1"/>
  <c r="T61" i="1"/>
  <c r="T63" i="1"/>
  <c r="T64" i="1"/>
  <c r="T65" i="1"/>
  <c r="T69" i="1"/>
  <c r="T71" i="1"/>
  <c r="T73" i="1"/>
  <c r="T75" i="1"/>
  <c r="T76" i="1"/>
  <c r="T77" i="1"/>
  <c r="T78" i="1"/>
  <c r="T81" i="1"/>
  <c r="T83" i="1"/>
  <c r="T85" i="1"/>
  <c r="T87" i="1"/>
  <c r="T88" i="1"/>
  <c r="T89" i="1"/>
  <c r="T90" i="1"/>
  <c r="T93" i="1"/>
  <c r="T97" i="1"/>
  <c r="T99" i="1"/>
  <c r="T100" i="1"/>
  <c r="T101" i="1"/>
  <c r="T102" i="1"/>
  <c r="T105" i="1"/>
  <c r="T107" i="1"/>
  <c r="T111" i="1"/>
  <c r="T112" i="1"/>
  <c r="T113" i="1"/>
  <c r="T114" i="1"/>
  <c r="T117" i="1"/>
  <c r="T118" i="1"/>
  <c r="T119" i="1"/>
  <c r="T121" i="1"/>
  <c r="T123" i="1"/>
  <c r="T124" i="1"/>
  <c r="T125" i="1"/>
  <c r="T126" i="1"/>
  <c r="T129" i="1"/>
  <c r="T131" i="1"/>
  <c r="T133" i="1"/>
  <c r="T135" i="1"/>
  <c r="T136" i="1"/>
  <c r="T137" i="1"/>
  <c r="T141" i="1"/>
  <c r="T143" i="1"/>
  <c r="T145" i="1"/>
  <c r="T147" i="1"/>
  <c r="T148" i="1"/>
  <c r="T149" i="1"/>
  <c r="T150" i="1"/>
  <c r="T153" i="1"/>
  <c r="T155" i="1"/>
  <c r="T157" i="1"/>
  <c r="T159" i="1"/>
  <c r="T160" i="1"/>
  <c r="T161" i="1"/>
  <c r="T162" i="1"/>
  <c r="T165" i="1"/>
  <c r="T166" i="1"/>
  <c r="T169" i="1"/>
  <c r="T171" i="1"/>
  <c r="T172" i="1"/>
  <c r="T173" i="1"/>
  <c r="T174" i="1"/>
  <c r="T177" i="1"/>
  <c r="T179" i="1"/>
  <c r="T183" i="1"/>
  <c r="T184" i="1"/>
  <c r="T185" i="1"/>
  <c r="T186" i="1"/>
  <c r="T189" i="1"/>
  <c r="T191" i="1"/>
  <c r="T192" i="1"/>
  <c r="T193" i="1"/>
  <c r="T195" i="1"/>
  <c r="T196" i="1"/>
  <c r="T197" i="1"/>
  <c r="T198" i="1"/>
  <c r="T201" i="1"/>
  <c r="T202" i="1"/>
  <c r="T203" i="1"/>
  <c r="T205" i="1"/>
  <c r="T207" i="1"/>
  <c r="T208" i="1"/>
  <c r="T209" i="1"/>
  <c r="T213" i="1"/>
  <c r="T215" i="1"/>
  <c r="T217" i="1"/>
  <c r="T219" i="1"/>
  <c r="T220" i="1"/>
  <c r="T221" i="1"/>
  <c r="T222" i="1"/>
  <c r="T225" i="1"/>
  <c r="T227" i="1"/>
  <c r="T229" i="1"/>
  <c r="T231" i="1"/>
  <c r="T232" i="1"/>
  <c r="T233" i="1"/>
  <c r="T234" i="1"/>
  <c r="T237" i="1"/>
  <c r="T243" i="1"/>
  <c r="T244" i="1"/>
  <c r="T245" i="1"/>
  <c r="T246" i="1"/>
  <c r="T248" i="1"/>
  <c r="T249" i="1"/>
  <c r="T251" i="1"/>
  <c r="T255" i="1"/>
  <c r="T256" i="1"/>
  <c r="T257" i="1"/>
  <c r="T258" i="1"/>
  <c r="T260" i="1"/>
  <c r="T261" i="1"/>
  <c r="T263" i="1"/>
  <c r="T264" i="1"/>
  <c r="T267" i="1"/>
  <c r="T268" i="1"/>
  <c r="T269" i="1"/>
  <c r="T270" i="1"/>
  <c r="T272" i="1"/>
  <c r="T273" i="1"/>
  <c r="T275" i="1"/>
  <c r="T277" i="1"/>
  <c r="T279" i="1"/>
  <c r="T280" i="1"/>
  <c r="T281" i="1"/>
  <c r="T282" i="1"/>
  <c r="T284" i="1"/>
  <c r="T285" i="1"/>
  <c r="T286" i="1"/>
  <c r="T287" i="1"/>
  <c r="T289" i="1"/>
  <c r="T291" i="1"/>
  <c r="T292" i="1"/>
  <c r="T293" i="1"/>
  <c r="T294" i="1"/>
  <c r="T296" i="1"/>
  <c r="T297" i="1"/>
  <c r="T298" i="1"/>
  <c r="T299" i="1"/>
  <c r="T301" i="1"/>
  <c r="T303" i="1"/>
  <c r="T304" i="1"/>
  <c r="T305" i="1"/>
  <c r="T306" i="1"/>
  <c r="T308" i="1"/>
  <c r="T309" i="1"/>
  <c r="T311" i="1"/>
  <c r="T313" i="1"/>
  <c r="T315" i="1"/>
  <c r="T316" i="1"/>
  <c r="T317" i="1"/>
  <c r="T320" i="1"/>
  <c r="T321" i="1"/>
  <c r="T322" i="1"/>
  <c r="T323" i="1"/>
  <c r="T325" i="1"/>
  <c r="T327" i="1"/>
  <c r="T328" i="1"/>
  <c r="T329" i="1"/>
  <c r="T333" i="1"/>
  <c r="T335" i="1"/>
  <c r="T337" i="1"/>
  <c r="T339" i="1"/>
  <c r="T340" i="1"/>
  <c r="T341" i="1"/>
  <c r="T342" i="1"/>
  <c r="T345" i="1"/>
  <c r="T347" i="1"/>
  <c r="T349" i="1"/>
  <c r="T351" i="1"/>
  <c r="T352" i="1"/>
  <c r="T353" i="1"/>
  <c r="T354" i="1"/>
  <c r="T356" i="1"/>
  <c r="T357" i="1"/>
  <c r="T359" i="1"/>
  <c r="T361" i="1"/>
  <c r="T363" i="1"/>
  <c r="T364" i="1"/>
  <c r="T365" i="1"/>
  <c r="T366" i="1"/>
  <c r="T368" i="1"/>
  <c r="T369" i="1"/>
  <c r="T373" i="1"/>
  <c r="T375" i="1"/>
  <c r="T376" i="1"/>
  <c r="T377" i="1"/>
  <c r="T378" i="1"/>
  <c r="T380" i="1"/>
  <c r="T381" i="1"/>
  <c r="T387" i="1"/>
  <c r="T388" i="1"/>
  <c r="T389" i="1"/>
  <c r="T390" i="1"/>
  <c r="T392" i="1"/>
  <c r="T393" i="1"/>
  <c r="T394" i="1"/>
  <c r="T395" i="1"/>
  <c r="T399" i="1"/>
  <c r="T400" i="1"/>
  <c r="T401" i="1"/>
  <c r="T402" i="1"/>
  <c r="T404" i="1"/>
  <c r="T405" i="1"/>
  <c r="T406" i="1"/>
  <c r="T407" i="1"/>
  <c r="T411" i="1"/>
  <c r="T412" i="1"/>
  <c r="T413" i="1"/>
  <c r="T414" i="1"/>
  <c r="T416" i="1"/>
  <c r="T417" i="1"/>
  <c r="T419" i="1"/>
  <c r="T420" i="1"/>
  <c r="T421" i="1"/>
  <c r="T423" i="1"/>
  <c r="T424" i="1"/>
  <c r="T425" i="1"/>
  <c r="T426" i="1"/>
  <c r="T428" i="1"/>
  <c r="T429" i="1"/>
  <c r="T431" i="1"/>
  <c r="T435" i="1"/>
  <c r="T436" i="1"/>
  <c r="T437" i="1"/>
  <c r="T438" i="1"/>
  <c r="T440" i="1"/>
  <c r="T441" i="1"/>
  <c r="T443" i="1"/>
  <c r="T447" i="1"/>
  <c r="T448" i="1"/>
  <c r="T449" i="1"/>
  <c r="T450" i="1"/>
  <c r="T452" i="1"/>
  <c r="T453" i="1"/>
  <c r="T454" i="1"/>
  <c r="T455" i="1"/>
  <c r="T459" i="1"/>
  <c r="T460" i="1"/>
  <c r="T461" i="1"/>
  <c r="T465" i="1"/>
  <c r="T466" i="1"/>
  <c r="T467" i="1"/>
  <c r="T469" i="1"/>
  <c r="T471" i="1"/>
  <c r="T472" i="1"/>
  <c r="T473" i="1"/>
  <c r="T477" i="1"/>
  <c r="T479" i="1"/>
  <c r="T483" i="1"/>
  <c r="T484" i="1"/>
  <c r="T485" i="1"/>
  <c r="T486" i="1"/>
  <c r="T491" i="1"/>
  <c r="T495" i="1"/>
  <c r="T496" i="1"/>
  <c r="T497" i="1"/>
  <c r="T498" i="1"/>
  <c r="T500" i="1"/>
  <c r="T507" i="1"/>
  <c r="T508" i="1"/>
  <c r="T509" i="1"/>
  <c r="T510" i="1"/>
  <c r="T512" i="1"/>
  <c r="T513" i="1"/>
  <c r="T520" i="1"/>
  <c r="T521" i="1"/>
  <c r="T522" i="1"/>
  <c r="T524" i="1"/>
  <c r="T525" i="1"/>
  <c r="T531" i="1"/>
  <c r="T532" i="1"/>
  <c r="T533" i="1"/>
  <c r="T534" i="1"/>
  <c r="T536" i="1"/>
  <c r="T537" i="1"/>
  <c r="T539" i="1"/>
  <c r="T543" i="1"/>
  <c r="T544" i="1"/>
  <c r="T545" i="1"/>
  <c r="T546" i="1"/>
  <c r="T548" i="1"/>
  <c r="T549" i="1"/>
  <c r="T551" i="1"/>
  <c r="T556" i="1"/>
  <c r="T557" i="1"/>
  <c r="T558" i="1"/>
  <c r="T560" i="1"/>
  <c r="T561" i="1"/>
  <c r="T563" i="1"/>
  <c r="T568" i="1"/>
  <c r="T569" i="1"/>
  <c r="T570" i="1"/>
  <c r="T572" i="1"/>
  <c r="T573" i="1"/>
  <c r="T575" i="1"/>
  <c r="T577" i="1"/>
  <c r="T580" i="1"/>
  <c r="T581" i="1"/>
  <c r="T582" i="1"/>
  <c r="T584" i="1"/>
  <c r="T585" i="1"/>
  <c r="T586" i="1"/>
  <c r="T587" i="1"/>
  <c r="T589" i="1"/>
  <c r="T591" i="1"/>
  <c r="T592" i="1"/>
  <c r="T593" i="1"/>
  <c r="T594" i="1"/>
  <c r="T596" i="1"/>
  <c r="T597" i="1"/>
  <c r="T599" i="1"/>
  <c r="T603" i="1"/>
  <c r="T605" i="1"/>
  <c r="T609" i="1"/>
  <c r="T611" i="1"/>
  <c r="T615" i="1"/>
  <c r="T617" i="1"/>
  <c r="T621" i="1"/>
  <c r="T622" i="1"/>
  <c r="T623" i="1"/>
  <c r="T629" i="1"/>
  <c r="T630" i="1"/>
  <c r="T635" i="1"/>
  <c r="T640" i="1"/>
  <c r="T641" i="1"/>
  <c r="T642" i="1"/>
  <c r="T644" i="1"/>
  <c r="T649" i="1"/>
  <c r="T652" i="1"/>
  <c r="T653" i="1"/>
  <c r="T654" i="1"/>
  <c r="T656" i="1"/>
  <c r="T657" i="1"/>
  <c r="T663" i="1"/>
  <c r="T664" i="1"/>
  <c r="T665" i="1"/>
  <c r="T668" i="1"/>
  <c r="T669" i="1"/>
  <c r="T677" i="1"/>
  <c r="T680" i="1"/>
  <c r="T681" i="1"/>
  <c r="T682" i="1"/>
  <c r="T683" i="1"/>
  <c r="T688" i="1"/>
  <c r="T689" i="1"/>
  <c r="T692" i="1"/>
  <c r="T693" i="1"/>
  <c r="T694" i="1"/>
  <c r="T695" i="1"/>
  <c r="T699" i="1"/>
  <c r="T701" i="1"/>
  <c r="T705" i="1"/>
  <c r="T707" i="1"/>
  <c r="T708" i="1"/>
  <c r="T711" i="1"/>
  <c r="T712" i="1"/>
  <c r="T713" i="1"/>
  <c r="T714" i="1"/>
  <c r="T716" i="1"/>
  <c r="T717" i="1"/>
  <c r="T719" i="1"/>
  <c r="T725" i="1"/>
  <c r="T728" i="1"/>
  <c r="T729" i="1"/>
  <c r="T731" i="1"/>
  <c r="T732" i="1"/>
  <c r="T735" i="1"/>
  <c r="T736" i="1"/>
  <c r="T737" i="1"/>
  <c r="T741" i="1"/>
  <c r="T742" i="1"/>
  <c r="T747" i="1"/>
  <c r="T749" i="1"/>
  <c r="T753" i="1"/>
  <c r="T755" i="1"/>
  <c r="T760" i="1"/>
  <c r="T761" i="1"/>
  <c r="T765" i="1"/>
  <c r="T767" i="1"/>
  <c r="T772" i="1"/>
  <c r="T77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2" i="1"/>
  <c r="D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C20" i="3" l="1" a="1"/>
  <c r="C20" i="3" s="1"/>
  <c r="C21" i="3" a="1"/>
  <c r="C21" i="3" s="1"/>
  <c r="C22" i="3" a="1"/>
  <c r="C22" i="3" s="1"/>
  <c r="C23" i="3" a="1"/>
  <c r="C23" i="3" s="1"/>
  <c r="C24" i="3" a="1"/>
  <c r="C24" i="3"/>
  <c r="C19" i="3" a="1"/>
  <c r="C19" i="3" s="1"/>
  <c r="B14" i="3"/>
  <c r="B13" i="3"/>
  <c r="B12" i="3"/>
  <c r="B11" i="3"/>
  <c r="B10" i="3"/>
  <c r="B9" i="3"/>
  <c r="B8" i="3"/>
  <c r="B7" i="3"/>
  <c r="B6" i="3"/>
  <c r="B5" i="3"/>
  <c r="B4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2" i="1"/>
</calcChain>
</file>

<file path=xl/sharedStrings.xml><?xml version="1.0" encoding="utf-8"?>
<sst xmlns="http://schemas.openxmlformats.org/spreadsheetml/2006/main" count="4727" uniqueCount="1613">
  <si>
    <t>PO_ID,Supplier,Order_Date,Delivery_Date,Item_Category,Order_Status,Quantity,Unit_Price,Negotiated_Price,Defective_Units,Compliance</t>
  </si>
  <si>
    <t>PO-00001,Alpha_Inc,2023-10-17,2023-10-25,Office Supplies,Cancelled,1176,20.13,17.81,,Yes</t>
  </si>
  <si>
    <t>PO-00002,Delta_Logistics,2022-04-25,2022-05-05,Office Supplies,Delivered,1509,39.32,37.34,235.0,Yes</t>
  </si>
  <si>
    <t>PO-00003,Gamma_Co,2022-01-26,2022-02-15,MRO,Delivered,910,95.51,92.26,41.0,Yes</t>
  </si>
  <si>
    <t>PO-00004,Beta_Supplies,2022-10-09,2022-10-28,Packaging,Delivered,1344,99.85,95.52,112.0,Yes</t>
  </si>
  <si>
    <t>PO-00005,Delta_Logistics,2022-09-08,2022-09-20,Raw Materials,Delivered,1180,64.07,60.53,171.0,No</t>
  </si>
  <si>
    <t>PO-00006,Epsilon_Group,2022-08-17,2022-08-29,MRO,Delivered,1145,69.21,63.57,39.0,Yes</t>
  </si>
  <si>
    <t>PO-00007,Gamma_Co,2022-05-23,2022-06-03,MRO,Delivered,1774,51.37,47.82,96.0,No</t>
  </si>
  <si>
    <t>PO-00008,Alpha_Inc,2022-04-15,2022-04-29,MRO,Delivered,1094,36.93,32.78,22.0,Yes</t>
  </si>
  <si>
    <t>PO-00009,Gamma_Co,2023-11-24,2023-11-28,Raw Materials,Partially Delivered,1688,43.93,39.89,89.0,Yes</t>
  </si>
  <si>
    <t>PO-00010,Gamma_Co,2023-07-13,2023-07-25,Raw Materials,Pending,171,76.87,70.2,8.0,Yes</t>
  </si>
  <si>
    <t>PO-00011,Epsilon_Group,2022-03-31,2022-04-15,Raw Materials,Delivered,5000,78.49,73.68,18.0,Yes</t>
  </si>
  <si>
    <t>PO-00012,Beta_Supplies,2023-08-28,2023-09-11,Raw Materials,Delivered,5000,88.96,86.58,115.0,Yes</t>
  </si>
  <si>
    <t>PO-00013,Beta_Supplies,2023-03-09,2023-03-26,Electronics,Pending,5000,86.74,74.86,51.0,Yes</t>
  </si>
  <si>
    <t>PO-00014,Beta_Supplies,2022-02-02,,MRO,Delivered,5000,18.3,16.88,,Yes</t>
  </si>
  <si>
    <t>PO-00015,Delta_Logistics,2022-01-31,2022-02-18,Electronics,Pending,5000,54.5,48.45,22.0,Yes</t>
  </si>
  <si>
    <t>PO-00016,Beta_Supplies,2022-04-06,2022-04-21,Packaging,Delivered,5000,15.41,15.12,,Yes</t>
  </si>
  <si>
    <t>PO-00017,Delta_Logistics,2022-08-12,2022-08-31,MRO,Delivered,1173,61.54,55.49,172.0,No</t>
  </si>
  <si>
    <t>PO-00018,Epsilon_Group,2022-08-27,2022-09-04,Raw Materials,Delivered,921,51.48,50.61,,Yes</t>
  </si>
  <si>
    <t>PO-00019,Gamma_Co,2023-06-02,2023-06-05,Raw Materials,Partially Delivered,1737,97.53,87.37,79.0,Yes</t>
  </si>
  <si>
    <t>PO-00020,Delta_Logistics,2023-09-09,2023-09-24,Raw Materials,Delivered,180,45.74,38.89,,No</t>
  </si>
  <si>
    <t>PO-00021,Epsilon_Group,2022-01-28,2022-02-12,Electronics,Cancelled,1735,20.54,19.69,49.0,Yes</t>
  </si>
  <si>
    <t>PO-00022,Delta_Logistics,2023-07-29,2023-08-11,Raw Materials,Delivered,1382,24.93,23.75,,Yes</t>
  </si>
  <si>
    <t>PO-00023,Epsilon_Group,2022-07-23,2022-08-08,MRO,Delivered,819,80.89,77.03,29.0,Yes</t>
  </si>
  <si>
    <t>PO-00024,Beta_Supplies,2023-10-28,2023-11-03,Office Supplies,Partially Delivered,393,72.53,66.31,42.0,No</t>
  </si>
  <si>
    <t>PO-00025,Beta_Supplies,2023-12-20,2024-01-01,MRO,Delivered,1565,21.3,20.09,161.0,Yes</t>
  </si>
  <si>
    <t>PO-00026,Epsilon_Group,2023-07-13,2023-07-24,Packaging,Delivered,1487,19.15,17.24,,Yes</t>
  </si>
  <si>
    <t>PO-00027,Alpha_Inc,2023-03-06,2023-03-26,MRO,Delivered,855,78.2,67.16,17.0,Yes</t>
  </si>
  <si>
    <t>PO-00028,Epsilon_Group,2022-08-14,2022-08-23,Raw Materials,Delivered,435,17.13,15.84,8.0,Yes</t>
  </si>
  <si>
    <t>PO-00029,Delta_Logistics,2023-04-05,2023-04-22,MRO,Delivered,1265,90.26,79.47,187.0,Yes</t>
  </si>
  <si>
    <t>PO-00030,Epsilon_Group,2023-08-27,,MRO,Delivered,1005,80.55,73.31,30.0,Yes</t>
  </si>
  <si>
    <t>PO-00031,Gamma_Co,2022-10-12,2022-10-26,Electronics,Delivered,326,18.1,15.92,,No</t>
  </si>
  <si>
    <t>PO-00032,Alpha_Inc,2022-01-07,2022-01-15,Office Supplies,Delivered,1234,17.64,15.66,26.0,Yes</t>
  </si>
  <si>
    <t>PO-00033,Epsilon_Group,2022-06-13,2022-06-29,MRO,Delivered,509,101.27,97.82,19.0,Yes</t>
  </si>
  <si>
    <t>PO-00034,Alpha_Inc,2023-12-16,2023-12-17,Packaging,Delivered,1387,48.71,43.71,27.0,Yes</t>
  </si>
  <si>
    <t>PO-00035,Alpha_Inc,2023-03-09,2023-03-17,MRO,Delivered,71,46.39,43.18,0.0,Yes</t>
  </si>
  <si>
    <t>PO-00036,Epsilon_Group,2022-12-15,2022-12-23,Office Supplies,Delivered,302,87.73,81.52,9.0,Yes</t>
  </si>
  <si>
    <t>PO-00037,Epsilon_Group,2022-10-12,2022-10-31,Office Supplies,Pending,797,99.54,91.37,18.0,Yes</t>
  </si>
  <si>
    <t>PO-00038,Beta_Supplies,2022-06-09,2022-06-27,Office Supplies,Pending,906,101.21,90.9,94.0,Yes</t>
  </si>
  <si>
    <t>PO-00039,Epsilon_Group,2022-08-09,2022-08-23,Office Supplies,Delivered,1634,80.53,76.15,50.0,Yes</t>
  </si>
  <si>
    <t>PO-00040,Epsilon_Group,2022-12-11,,Office Supplies,Delivered,524,46.28,39.65,14.0,Yes</t>
  </si>
  <si>
    <t>PO-00041,Beta_Supplies,2022-04-15,2022-04-27,Electronics,Delivered,1132,17.78,15.36,96.0,Yes</t>
  </si>
  <si>
    <t>PO-00042,Beta_Supplies,2022-04-05,2022-04-14,Office Supplies,Delivered,560,81.14,77.87,34.0,No</t>
  </si>
  <si>
    <t>PO-00043,Gamma_Co,2023-01-25,2023-02-02,Electronics,Delivered,1755,63.87,58.4,85.0,Yes</t>
  </si>
  <si>
    <t>PO-00044,Epsilon_Group,2022-04-10,2022-04-17,MRO,Delivered,1549,48.9,42.42,48.0,Yes</t>
  </si>
  <si>
    <t>PO-00045,Delta_Logistics,2023-01-03,2023-01-21,MRO,Delivered,749,97.07,94.16,123.0,Yes</t>
  </si>
  <si>
    <t>PO-00046,Alpha_Inc,2022-12-19,,Electronics,Delivered,1025,21.11,19.25,15.0,Yes</t>
  </si>
  <si>
    <t>PO-00047,Beta_Supplies,2023-09-11,2023-09-18,Raw Materials,Delivered,1856,59.77,50.81,191.0,Yes</t>
  </si>
  <si>
    <t>PO-00048,Epsilon_Group,2022-09-28,2022-10-14,Office Supplies,Delivered,239,11.46,11.28,4.0,Yes</t>
  </si>
  <si>
    <t>PO-00049,Delta_Logistics,2022-02-14,2022-03-05,Office Supplies,Pending,1007,52.44,46.06,167.0,Yes</t>
  </si>
  <si>
    <t>PO-00050,Alpha_Inc,2023-04-16,,MRO,Pending,736,16.2,15.33,18.0,Yes</t>
  </si>
  <si>
    <t>PO-00051,Epsilon_Group,2023-07-04,2023-07-14,Electronics,Delivered,1007,22.56,19.59,,Yes</t>
  </si>
  <si>
    <t>PO-00052,Delta_Logistics,2022-05-08,,Office Supplies,Delivered,612,20.99,19.75,102.0,Yes</t>
  </si>
  <si>
    <t>PO-00053,Alpha_Inc,2023-01-23,2023-02-02,MRO,Pending,1949,72.53,63.26,48.0,No</t>
  </si>
  <si>
    <t>PO-00054,Delta_Logistics,2022-03-22,2022-03-28,Office Supplies,Cancelled,1640,77.92,76.41,262.0,No</t>
  </si>
  <si>
    <t>PO-00055,Beta_Supplies,2023-07-20,2023-08-07,Electronics,Delivered,1317,68.13,60.52,136.0,Yes</t>
  </si>
  <si>
    <t>PO-00056,Epsilon_Group,2022-10-28,2022-10-30,Raw Materials,Delivered,881,100.94,95.05,30.0,Yes</t>
  </si>
  <si>
    <t>PO-00057,Delta_Logistics,2023-10-06,,Packaging,Delivered,1578,48.33,42.77,206.0,Yes</t>
  </si>
  <si>
    <t>PO-00058,Delta_Logistics,2023-09-26,2023-10-01,MRO,Delivered,1204,39.29,35.44,,Yes</t>
  </si>
  <si>
    <t>PO-00059,Epsilon_Group,2023-01-06,2023-01-22,MRO,Pending,1558,93.46,91.27,39.0,Yes</t>
  </si>
  <si>
    <t>PO-00060,Alpha_Inc,2023-08-15,2023-08-16,Packaging,Delivered,1892,32.99,28.81,35.0,Yes</t>
  </si>
  <si>
    <t>PO-00061,Epsilon_Group,2022-07-16,2022-08-01,Packaging,Delivered,696,99.59,90.18,25.0,Yes</t>
  </si>
  <si>
    <t>PO-00062,Delta_Logistics,2023-12-23,2024-01-03,MRO,Partially Delivered,70,12.37,11.04,10.0,Yes</t>
  </si>
  <si>
    <t>PO-00063,Gamma_Co,2022-03-13,2022-03-15,Raw Materials,Delivered,890,98.26,93.14,49.0,Yes</t>
  </si>
  <si>
    <t>PO-00064,Alpha_Inc,2022-02-16,2022-03-04,MRO,Delivered,216,13.95,12.31,5.0,Yes</t>
  </si>
  <si>
    <t>PO-00065,Delta_Logistics,2023-11-09,2023-11-12,Packaging,Delivered,1347,100.13,94.3,200.0,Yes</t>
  </si>
  <si>
    <t>PO-00066,Gamma_Co,2022-08-22,2022-08-25,Office Supplies,Partially Delivered,437,59.51,56.45,25.0,No</t>
  </si>
  <si>
    <t>PO-00067,Alpha_Inc,2022-10-24,2022-10-26,Electronics,Delivered,650,103.84,88.28,12.0,Yes</t>
  </si>
  <si>
    <t>PO-00068,Beta_Supplies,2022-03-23,2022-04-11,Office Supplies,Delivered,365,16.81,15.41,38.0,Yes</t>
  </si>
  <si>
    <t>PO-00069,Epsilon_Group,2022-08-27,,Raw Materials,Cancelled,63,61.94,53.8,,Yes</t>
  </si>
  <si>
    <t>PO-00070,Alpha_Inc,2022-04-14,2022-04-22,MRO,Delivered,291,98.7,87.02,9.0,Yes</t>
  </si>
  <si>
    <t>PO-00071,Alpha_Inc,2023-01-25,2023-02-08,MRO,Cancelled,826,60.5,57.18,18.0,Yes</t>
  </si>
  <si>
    <t>PO-00072,Delta_Logistics,2022-10-12,2022-11-01,Electronics,Pending,1419,69.64,59.28,194.0,Yes</t>
  </si>
  <si>
    <t>PO-00073,Gamma_Co,2023-04-10,2023-04-27,Office Supplies,Delivered,614,78.06,73.95,40.0,Yes</t>
  </si>
  <si>
    <t>PO-00074,Alpha_Inc,2023-10-13,2023-10-28,Electronics,Delivered,947,56.25,54.25,19.0,Yes</t>
  </si>
  <si>
    <t>PO-00075,Epsilon_Group,2023-01-09,2023-01-28,Raw Materials,Delivered,1413,70.47,69.65,,Yes</t>
  </si>
  <si>
    <t>PO-00076,Alpha_Inc,2022-06-16,,Office Supplies,Partially Delivered,141,64.15,58.32,,Yes</t>
  </si>
  <si>
    <t>PO-00077,Alpha_Inc,2023-01-15,2023-02-04,Office Supplies,Delivered,1440,96.57,83.87,36.0,Yes</t>
  </si>
  <si>
    <t>PO-00078,Delta_Logistics,2022-12-30,2023-01-03,Raw Materials,Delivered,1005,14.87,12.79,,No</t>
  </si>
  <si>
    <t>PO-00079,Alpha_Inc,2022-08-03,,MRO,Delivered,1528,36.52,33.0,31.0,No</t>
  </si>
  <si>
    <t>PO-00080,Gamma_Co,2023-11-18,2023-11-25,MRO,Delivered,1501,106.05,100.99,77.0,No</t>
  </si>
  <si>
    <t>PO-00081,Delta_Logistics,2022-10-01,2022-10-04,Packaging,Delivered,558,94.18,81.4,,No</t>
  </si>
  <si>
    <t>PO-00082,Beta_Supplies,2023-12-20,2023-12-26,MRO,Delivered,825,56.88,50.84,,Yes</t>
  </si>
  <si>
    <t>PO-00083,Beta_Supplies,2023-12-01,2023-12-07,Electronics,Cancelled,84,73.38,71.42,9.0,Yes</t>
  </si>
  <si>
    <t>PO-00084,Delta_Logistics,2023-10-26,2023-11-10,Raw Materials,Delivered,255,38.64,33.59,27.0,No</t>
  </si>
  <si>
    <t>PO-00085,Gamma_Co,2022-03-15,2022-03-31,MRO,Delivered,1154,27.2,26.07,58.0,Yes</t>
  </si>
  <si>
    <t>PO-00086,Delta_Logistics,2023-09-16,2023-09-24,Office Supplies,Delivered,1635,56.91,54.37,262.0,No</t>
  </si>
  <si>
    <t>PO-00087,Delta_Logistics,2023-10-13,2023-10-23,Raw Materials,Delivered,1945,46.19,40.12,278.0,No</t>
  </si>
  <si>
    <t>PO-00088,Delta_Logistics,2022-06-25,2022-07-10,MRO,Partially Delivered,1461,64.09,63.39,228.0,No</t>
  </si>
  <si>
    <t>PO-00089,Delta_Logistics,2023-07-01,2023-07-09,Electronics,Delivered,1075,18.53,16.12,147.0,Yes</t>
  </si>
  <si>
    <t>PO-00090,Alpha_Inc,2022-09-08,,Packaging,Delivered,1071,101.6,93.91,25.0,Yes</t>
  </si>
  <si>
    <t>PO-00091,Epsilon_Group,2022-06-17,2022-07-06,Packaging,Pending,1463,101.23,86.17,43.0,Yes</t>
  </si>
  <si>
    <t>PO-00092,Beta_Supplies,2023-04-19,2023-04-26,Raw Materials,Delivered,615,78.3,73.68,69.0,Yes</t>
  </si>
  <si>
    <t>PO-00093,Gamma_Co,2023-01-24,2023-02-11,Electronics,Delivered,1179,61.74,56.28,,Yes</t>
  </si>
  <si>
    <t>PO-00094,Alpha_Inc,2022-10-04,2022-10-09,Electronics,Partially Delivered,1845,39.56,37.63,45.0,Yes</t>
  </si>
  <si>
    <t>PO-00095,Beta_Supplies,2023-10-18,,Electronics,Cancelled,1895,91.98,86.27,170.0,Yes</t>
  </si>
  <si>
    <t>PO-00096,Epsilon_Group,2023-12-06,2023-12-09,MRO,Partially Delivered,1550,79.86,69.57,32.0,No</t>
  </si>
  <si>
    <t>PO-00097,Delta_Logistics,2023-07-25,2023-08-04,Packaging,Delivered,752,26.85,24.37,,No</t>
  </si>
  <si>
    <t>PO-00098,Epsilon_Group,2022-08-13,2022-09-01,Electronics,Delivered,451,95.2,90.07,21.0,Yes</t>
  </si>
  <si>
    <t>PO-00099,Beta_Supplies,2023-12-03,,Office Supplies,Delivered,779,93.69,90.92,66.0,Yes</t>
  </si>
  <si>
    <t>PO-00100,Beta_Supplies,2022-11-29,2022-12-14,MRO,Pending,1629,100.26,86.44,187.0,No</t>
  </si>
  <si>
    <t>PO-00101,Alpha_Inc,2022-02-27,2022-02-22,Office Supplies,Delivered,211,75.69,65.4,2.0,Yes</t>
  </si>
  <si>
    <t>PO-00102,Alpha_Inc,2022-08-23,,Office Supplies,Delivered,251,67.49,64.48,2.0,Yes</t>
  </si>
  <si>
    <t>PO-00103,Gamma_Co,2022-02-02,2022-02-18,Raw Materials,Delivered,1045,47.88,44.65,69.0,Yes</t>
  </si>
  <si>
    <t>PO-00104,Delta_Logistics,2022-11-20,2022-12-10,MRO,Delivered,319,98.64,89.15,57.0,Yes</t>
  </si>
  <si>
    <t>PO-00105,Epsilon_Group,2023-02-15,2023-03-01,Office Supplies,Partially Delivered,1936,93.66,92.24,58.0,Yes</t>
  </si>
  <si>
    <t>PO-00106,Delta_Logistics,2022-10-02,2022-10-22,MRO,Cancelled,865,14.7,13.14,135.0,No</t>
  </si>
  <si>
    <t>PO-00107,Epsilon_Group,2022-03-09,2022-03-12,Electronics,Delivered,1344,12.5,10.87,44.0,Yes</t>
  </si>
  <si>
    <t>PO-00108,Delta_Logistics,2022-08-05,2022-08-24,Raw Materials,Pending,505,45.42,40.37,62.0,Yes</t>
  </si>
  <si>
    <t>PO-00109,Beta_Supplies,2023-08-04,2023-08-05,Packaging,Delivered,1535,90.83,78.28,151.0,No</t>
  </si>
  <si>
    <t>PO-00110,Beta_Supplies,2022-11-19,,Office Supplies,Delivered,1800,103.8,96.27,166.0,Yes</t>
  </si>
  <si>
    <t>PO-00111,Delta_Logistics,2022-08-06,2022-08-15,Raw Materials,Pending,1325,24.36,22.75,206.0,Yes</t>
  </si>
  <si>
    <t>PO-00112,Gamma_Co,2023-11-03,2023-11-09,Raw Materials,Delivered,1066,70.45,65.88,56.0,No</t>
  </si>
  <si>
    <t>PO-00113,Beta_Supplies,2023-05-27,2023-06-11,Raw Materials,Delivered,1775,47.82,45.86,180.0,Yes</t>
  </si>
  <si>
    <t>PO-00114,Gamma_Co,2023-02-10,,Raw Materials,Partially Delivered,345,103.62,98.09,25.0,No</t>
  </si>
  <si>
    <t>PO-00115,Beta_Supplies,2023-10-21,2023-11-09,Electronics,Delivered,1798,94.8,91.83,,Yes</t>
  </si>
  <si>
    <t>PO-00116,Alpha_Inc,2023-04-15,2023-05-01,MRO,Delivered,769,91.86,86.55,17.0,Yes</t>
  </si>
  <si>
    <t>PO-00117,Alpha_Inc,2022-05-27,,Packaging,Delivered,1822,53.23,47.49,39.0,Yes</t>
  </si>
  <si>
    <t>PO-00118,Delta_Logistics,2022-09-29,2022-10-13,Packaging,Delivered,387,49.23,45.41,61.0,Yes</t>
  </si>
  <si>
    <t>PO-00119,Epsilon_Group,2022-05-23,2022-05-27,MRO,Delivered,928,35.3,32.52,26.0,Yes</t>
  </si>
  <si>
    <t>PO-00120,Alpha_Inc,2022-09-10,2022-09-21,Packaging,Partially Delivered,1126,15.68,14.97,27.0,Yes</t>
  </si>
  <si>
    <t>PO-00121,Beta_Supplies,2023-07-29,2023-08-14,Raw Materials,Cancelled,841,95.73,85.33,81.0,Yes</t>
  </si>
  <si>
    <t>PO-00122,Beta_Supplies,2023-07-06,2023-07-19,Electronics,Delivered,1995,90.65,77.75,206.0,Yes</t>
  </si>
  <si>
    <t>PO-00123,Alpha_Inc,2022-09-27,2022-10-15,Raw Materials,Delivered,266,103.97,101.44,6.0,Yes</t>
  </si>
  <si>
    <t>PO-00124,Alpha_Inc,2023-08-22,2023-08-25,Raw Materials,Cancelled,813,109.17,107.39,14.0,Yes</t>
  </si>
  <si>
    <t>PO-00125,Epsilon_Group,2023-03-15,2023-03-26,Electronics,Delivered,237,64.19,59.01,7.0,Yes</t>
  </si>
  <si>
    <t>PO-00126,Alpha_Inc,2023-08-21,2023-09-03,Office Supplies,Cancelled,429,86.73,75.09,9.0,Yes</t>
  </si>
  <si>
    <t>PO-00127,Delta_Logistics,2023-02-13,2023-02-14,Packaging,Delivered,542,101.21,93.11,78.0,No</t>
  </si>
  <si>
    <t>PO-00128,Epsilon_Group,2023-01-06,2023-01-24,Electronics,Delivered,1114,91.66,85.53,35.0,Yes</t>
  </si>
  <si>
    <t>PO-00129,Alpha_Inc,2022-08-13,2022-08-15,MRO,Delivered,1230,33.39,30.85,26.0,Yes</t>
  </si>
  <si>
    <t>PO-00130,Beta_Supplies,2022-05-22,2022-06-03,MRO,Delivered,64,51.56,50.88,5.0,Yes</t>
  </si>
  <si>
    <t>PO-00131,Alpha_Inc,2023-06-06,2023-06-22,MRO,Delivered,1886,23.46,23.18,,Yes</t>
  </si>
  <si>
    <t>PO-00132,Delta_Logistics,2023-05-21,2023-05-23,Office Supplies,Delivered,114,103.53,101.54,14.0,Yes</t>
  </si>
  <si>
    <t>PO-00133,Delta_Logistics,2022-04-04,2022-04-22,Electronics,Cancelled,1930,65.52,56.9,282.0,Yes</t>
  </si>
  <si>
    <t>PO-00134,Beta_Supplies,2022-02-18,2022-02-28,Office Supplies,Pending,1912,30.73,29.82,191.0,Yes</t>
  </si>
  <si>
    <t>PO-00135,Epsilon_Group,2022-04-23,2022-05-09,MRO,Delivered,570,71.51,66.47,,Yes</t>
  </si>
  <si>
    <t>PO-00136,Beta_Supplies,2022-06-06,2022-06-26,Raw Materials,Delivered,1417,67.27,60.62,,Yes</t>
  </si>
  <si>
    <t>PO-00137,Alpha_Inc,2023-10-05,2023-10-11,Raw Materials,Delivered,1202,46.67,44.13,21.0,No</t>
  </si>
  <si>
    <t>PO-00138,Beta_Supplies,2022-06-13,2022-06-14,Office Supplies,Delivered,697,20.73,19.83,78.0,No</t>
  </si>
  <si>
    <t>PO-00139,Epsilon_Group,2023-11-28,2023-12-01,MRO,Delivered,1545,78.19,76.91,42.0,Yes</t>
  </si>
  <si>
    <t>PO-00140,Gamma_Co,2023-03-09,2023-03-13,MRO,Partially Delivered,1136,60.81,58.25,62.0,Yes</t>
  </si>
  <si>
    <t>PO-00141,Beta_Supplies,2023-09-03,2023-09-07,MRO,Delivered,1212,87.46,74.55,118.0,No</t>
  </si>
  <si>
    <t>PO-00142,Epsilon_Group,2022-03-07,2022-03-12,MRO,Delivered,1572,57.38,49.32,40.0,Yes</t>
  </si>
  <si>
    <t>PO-00143,Gamma_Co,2023-01-30,2023-02-09,Electronics,Delivered,642,91.9,81.49,26.0,Yes</t>
  </si>
  <si>
    <t>PO-00144,Epsilon_Group,2023-01-26,2023-02-04,Office Supplies,Delivered,441,63.25,54.12,16.0,Yes</t>
  </si>
  <si>
    <t>PO-00145,Epsilon_Group,2023-09-03,2023-09-19,Office Supplies,Delivered,1748,66.53,57.11,,Yes</t>
  </si>
  <si>
    <t>PO-00146,Gamma_Co,2023-04-25,,Electronics,Pending,468,95.57,91.8,24.0,Yes</t>
  </si>
  <si>
    <t>PO-00147,Beta_Supplies,2023-06-26,2023-07-14,Raw Materials,Delivered,338,50.25,46.28,49.0,No</t>
  </si>
  <si>
    <t>PO-00148,Gamma_Co,2022-09-15,2022-09-22,Office Supplies,Delivered,428,22.94,21.52,26.0,Yes</t>
  </si>
  <si>
    <t>PO-00149,Beta_Supplies,2023-07-21,,Packaging,Delivered,1846,13.72,12.62,216.0,Yes</t>
  </si>
  <si>
    <t>PO-00150,Epsilon_Group,2022-01-12,2022-01-17,Office Supplies,Delivered,1563,77.96,70.8,41.0,Yes</t>
  </si>
  <si>
    <t>PO-00151,Beta_Supplies,2023-11-28,2023-12-07,Office Supplies,Delivered,280,73.07,69.29,30.0,Yes</t>
  </si>
  <si>
    <t>PO-00152,Delta_Logistics,2022-04-28,2022-05-12,Raw Materials,Delivered,1067,74.47,64.16,,No</t>
  </si>
  <si>
    <t>PO-00153,Gamma_Co,2023-11-30,2023-12-17,Electronics,Pending,90,32.38,29.96,7.0,Yes</t>
  </si>
  <si>
    <t>PO-00154,Gamma_Co,2023-07-04,2023-07-05,Raw Materials,Delivered,1101,24.28,22.73,59.0,No</t>
  </si>
  <si>
    <t>PO-00155,Alpha_Inc,2022-10-01,2022-10-11,Raw Materials,Delivered,184,11.82,10.51,4.0,Yes</t>
  </si>
  <si>
    <t>PO-00156,Epsilon_Group,2023-10-19,2023-11-07,Electronics,Delivered,250,45.92,41.02,3.0,Yes</t>
  </si>
  <si>
    <t>PO-00157,Epsilon_Group,2022-12-15,,Packaging,Cancelled,1913,66.56,61.34,61.0,Yes</t>
  </si>
  <si>
    <t>PO-00158,Beta_Supplies,2022-04-25,2022-04-30,Electronics,Delivered,829,45.98,40.39,,Yes</t>
  </si>
  <si>
    <t>PO-00159,Delta_Logistics,2022-10-28,2022-11-13,Raw Materials,Delivered,979,51.59,49.69,148.0,Yes</t>
  </si>
  <si>
    <t>PO-00160,Epsilon_Group,2023-03-22,2023-04-09,Electronics,Partially Delivered,1106,97.77,90.45,31.0,Yes</t>
  </si>
  <si>
    <t>PO-00161,Delta_Logistics,2022-06-11,2022-06-24,Office Supplies,Pending,1121,42.38,38.34,152.0,Yes</t>
  </si>
  <si>
    <t>PO-00162,Alpha_Inc,2023-04-10,2023-04-21,Office Supplies,Delivered,552,60.48,56.78,10.0,Yes</t>
  </si>
  <si>
    <t>PO-00163,Gamma_Co,2022-01-04,2022-01-12,Packaging,Delivered,456,80.53,77.86,26.0,Yes</t>
  </si>
  <si>
    <t>PO-00164,Delta_Logistics,2022-09-27,2022-10-05,Packaging,Delivered,1647,47.52,44.92,,Yes</t>
  </si>
  <si>
    <t>PO-00165,Epsilon_Group,2023-05-28,2023-06-11,Electronics,Pending,1801,71.27,61.24,43.0,Yes</t>
  </si>
  <si>
    <t>PO-00166,Gamma_Co,2022-07-02,2022-07-18,Electronics,Delivered,854,90.24,85.53,,Yes</t>
  </si>
  <si>
    <t>PO-00167,Delta_Logistics,2023-06-04,2023-06-17,Electronics,Delivered,148,103.57,98.62,23.0,No</t>
  </si>
  <si>
    <t>PO-00168,Delta_Logistics,2022-04-19,2022-04-24,MRO,Delivered,733,23.59,22.85,92.0,Yes</t>
  </si>
  <si>
    <t>PO-00169,Beta_Supplies,2023-10-03,2023-10-05,Raw Materials,Delivered,1945,103.2,88.56,,Yes</t>
  </si>
  <si>
    <t>PO-00170,Gamma_Co,2022-11-02,2022-11-21,Raw Materials,Delivered,775,57.0,49.14,48.0,Yes</t>
  </si>
  <si>
    <t>PO-00171,Delta_Logistics,2023-10-17,2023-10-21,Packaging,Delivered,1620,36.73,33.45,235.0,No</t>
  </si>
  <si>
    <t>PO-00172,Beta_Supplies,2023-06-04,2023-06-19,Office Supplies,Delivered,1010,55.68,50.86,,Yes</t>
  </si>
  <si>
    <t>PO-00173,Epsilon_Group,2023-09-16,2023-10-01,Office Supplies,Delivered,1812,108.02,101.02,51.0,Yes</t>
  </si>
  <si>
    <t>PO-00174,Delta_Logistics,2022-07-23,2022-07-28,Office Supplies,Delivered,662,55.97,50.0,100.0,Yes</t>
  </si>
  <si>
    <t>PO-00175,Beta_Supplies,2022-06-06,2022-06-11,Office Supplies,Pending,1535,40.58,38.71,165.0,Yes</t>
  </si>
  <si>
    <t>PO-00176,Beta_Supplies,2023-01-18,2023-01-27,Raw Materials,Delivered,692,71.03,67.74,70.0,Yes</t>
  </si>
  <si>
    <t>PO-00177,Gamma_Co,2022-06-15,2022-06-28,MRO,Delivered,1842,32.4,28.08,96.0,Yes</t>
  </si>
  <si>
    <t>PO-00178,Beta_Supplies,2023-07-07,2023-07-18,Office Supplies,Cancelled,1078,18.34,17.41,102.0,Yes</t>
  </si>
  <si>
    <t>PO-00179,Delta_Logistics,2023-06-28,2023-07-16,Packaging,Delivered,1291,23.44,22.23,,Yes</t>
  </si>
  <si>
    <t>PO-00180,Alpha_Inc,2022-01-01,2022-01-12,Electronics,Delivered,552,21.52,18.79,13.0,Yes</t>
  </si>
  <si>
    <t>PO-00181,Epsilon_Group,2023-09-06,2023-09-22,Electronics,Delivered,816,26.04,25.61,28.0,Yes</t>
  </si>
  <si>
    <t>PO-00182,Delta_Logistics,2022-11-28,2022-11-30,Packaging,Delivered,447,23.62,21.81,50.0,Yes</t>
  </si>
  <si>
    <t>PO-00183,Delta_Logistics,2023-05-16,2023-05-24,Packaging,Partially Delivered,920,73.09,70.14,,Yes</t>
  </si>
  <si>
    <t>PO-00184,Epsilon_Group,2022-01-20,2022-01-30,Packaging,Partially Delivered,844,26.37,25.08,38.0,Yes</t>
  </si>
  <si>
    <t>PO-00185,Epsilon_Group,2022-04-25,,MRO,Delivered,442,41.73,36.45,15.0,Yes</t>
  </si>
  <si>
    <t>PO-00186,Beta_Supplies,2023-01-07,2023-01-21,Electronics,Cancelled,256,96.15,83.44,26.0,Yes</t>
  </si>
  <si>
    <t>PO-00187,Delta_Logistics,2022-11-11,,MRO,Partially Delivered,1088,55.29,53.04,161.0,No</t>
  </si>
  <si>
    <t>PO-00188,Beta_Supplies,2022-09-03,2022-09-07,Office Supplies,Delivered,1931,72.88,64.69,187.0,Yes</t>
  </si>
  <si>
    <t>PO-00189,Gamma_Co,2022-03-01,2022-03-11,Electronics,Delivered,1627,25.76,25.09,74.0,Yes</t>
  </si>
  <si>
    <t>PO-00190,Beta_Supplies,2022-09-04,,Packaging,Delivered,941,28.4,27.21,,No</t>
  </si>
  <si>
    <t>PO-00191,Gamma_Co,2023-08-04,2023-08-06,MRO,Delivered,1534,14.98,12.79,,Yes</t>
  </si>
  <si>
    <t>PO-00192,Alpha_Inc,2022-03-22,2022-04-03,Raw Materials,Delivered,1764,25.46,24.52,46.0,Yes</t>
  </si>
  <si>
    <t>PO-00193,Delta_Logistics,2022-03-29,2022-04-06,Electronics,Delivered,1648,35.42,31.46,,No</t>
  </si>
  <si>
    <t>PO-00194,Gamma_Co,2023-05-13,2023-06-01,Packaging,Delivered,913,28.01,24.06,53.0,Yes</t>
  </si>
  <si>
    <t>PO-00195,Alpha_Inc,2022-03-12,2022-03-18,Packaging,Cancelled,792,18.16,17.25,17.0,Yes</t>
  </si>
  <si>
    <t>PO-00196,Epsilon_Group,2023-06-30,2023-07-03,Office Supplies,Partially Delivered,1314,22.63,21.06,44.0,Yes</t>
  </si>
  <si>
    <t>PO-00197,Beta_Supplies,2022-05-09,2022-05-22,MRO,Delivered,613,52.5,45.19,70.0,Yes</t>
  </si>
  <si>
    <t>PO-00198,Alpha_Inc,2022-05-12,2022-05-20,Office Supplies,Delivered,1070,29.14,26.63,24.0,Yes</t>
  </si>
  <si>
    <t>PO-00199,Gamma_Co,2023-11-07,2023-11-26,Raw Materials,Partially Delivered,145,47.49,42.76,6.0,Yes</t>
  </si>
  <si>
    <t>PO-00200,Delta_Logistics,2023-05-02,2023-05-17,Raw Materials,Delivered,1973,59.73,54.95,291.0,Yes</t>
  </si>
  <si>
    <t>PO-00201,Epsilon_Group,2023-07-17,2023-08-01,Office Supplies,Delivered,1807,78.63,73.08,100.0,Yes</t>
  </si>
  <si>
    <t>PO-00202,Epsilon_Group,2022-06-19,2022-06-20,Electronics,Delivered,534,13.88,12.51,100.0,Yes</t>
  </si>
  <si>
    <t>PO-00203,Alpha_Inc,2022-09-29,2022-10-14,Electronics,Delivered,1480,85.22,75.48,100.0,Yes</t>
  </si>
  <si>
    <t>PO-00204,Alpha_Inc,2023-06-25,,Office Supplies,Delivered,280,72.16,62.38,100.0,Yes</t>
  </si>
  <si>
    <t>PO-00205,Beta_Supplies,2023-09-14,2023-09-20,Office Supplies,Cancelled,798,19.09,17.76,100.0,Yes</t>
  </si>
  <si>
    <t>PO-00206,Epsilon_Group,2023-03-10,2023-03-22,Electronics,Delivered,1728,94.83,90.2,100.0,Yes</t>
  </si>
  <si>
    <t>PO-00207,Epsilon_Group,2022-08-05,,MRO,Delivered,1244,96.13,84.78,43.0,Yes</t>
  </si>
  <si>
    <t>PO-00208,Beta_Supplies,2023-07-07,2023-07-21,Office Supplies,Delivered,590,16.89,15.56,46.0,No</t>
  </si>
  <si>
    <t>PO-00209,Delta_Logistics,2023-12-08,2023-12-23,Packaging,Delivered,1109,38.93,33.33,152.0,Yes</t>
  </si>
  <si>
    <t>PO-00210,Beta_Supplies,2022-07-25,2022-08-01,MRO,Delivered,574,85.03,82.55,54.0,Yes</t>
  </si>
  <si>
    <t>PO-00211,Gamma_Co,2024-01-01,,Office Supplies,Delivered,1233,86.62,76.59,65.0,Yes</t>
  </si>
  <si>
    <t>PO-00212,Gamma_Co,2022-11-16,2022-11-20,Packaging,Delivered,1912,27.94,25.59,83.0,No</t>
  </si>
  <si>
    <t>PO-00213,Alpha_Inc,2023-02-13,2023-03-04,Packaging,Delivered,1772,30.72,27.76,46.0,No</t>
  </si>
  <si>
    <t>PO-00214,Beta_Supplies,2023-11-19,2023-11-29,Office Supplies,Delivered,1316,48.11,41.9,135.0,Yes</t>
  </si>
  <si>
    <t>PO-00215,Beta_Supplies,2023-10-28,,Office Supplies,Delivered,1159,59.24,58.08,,Yes</t>
  </si>
  <si>
    <t>PO-00216,Alpha_Inc,2023-01-18,2023-01-31,Office Supplies,Delivered,1869,69.58,67.5,31.0,Yes</t>
  </si>
  <si>
    <t>PO-00217,Delta_Logistics,2023-03-25,2023-04-13,Packaging,Delivered,627,46.23,42.87,,Yes</t>
  </si>
  <si>
    <t>PO-00218,Beta_Supplies,2023-06-14,2023-06-16,Raw Materials,Pending,731,56.02,54.78,70.0,No</t>
  </si>
  <si>
    <t>PO-00219,Epsilon_Group,2023-04-08,,Office Supplies,Cancelled,606,83.07,79.22,16.0,Yes</t>
  </si>
  <si>
    <t>PO-00220,Beta_Supplies,2022-05-04,2022-05-14,Office Supplies,Delivered,1647,13.57,12.33,157.0,Yes</t>
  </si>
  <si>
    <t>PO-00221,Delta_Logistics,2022-09-11,2022-09-19,MRO,Delivered,1062,34.03,30.46,,Yes</t>
  </si>
  <si>
    <t>PO-00222,Beta_Supplies,2022-08-19,2022-08-31,Office Supplies,Delivered,695,76.8,69.76,,No</t>
  </si>
  <si>
    <t>PO-00223,Epsilon_Group,2022-03-07,2022-03-14,MRO,Delivered,845,91.47,86.97,,Yes</t>
  </si>
  <si>
    <t>PO-00224,Gamma_Co,2022-12-13,2022-12-18,MRO,Delivered,1101,59.13,52.51,54.0,Yes</t>
  </si>
  <si>
    <t>PO-00225,Gamma_Co,2022-01-22,2022-01-24,Raw Materials,Delivered,1693,57.89,49.84,88.0,Yes</t>
  </si>
  <si>
    <t>PO-00226,Delta_Logistics,2023-08-26,2023-09-10,Office Supplies,Cancelled,1629,21.51,19.41,250.0,No</t>
  </si>
  <si>
    <t>PO-00227,Delta_Logistics,2023-07-22,2023-08-03,Raw Materials,Delivered,1413,54.79,50.42,,Yes</t>
  </si>
  <si>
    <t>PO-00228,Epsilon_Group,2022-08-24,2022-08-27,Packaging,Delivered,1871,59.96,58.54,47.0,Yes</t>
  </si>
  <si>
    <t>PO-00229,Gamma_Co,2023-08-26,,Raw Materials,Delivered,1404,34.85,30.5,78.0,Yes</t>
  </si>
  <si>
    <t>PO-00230,Gamma_Co,2022-08-14,2022-08-28,Electronics,Delivered,1713,35.43,34.11,74.0,Yes</t>
  </si>
  <si>
    <t>PO-00231,Gamma_Co,2022-01-08,2022-01-13,Electronics,Delivered,1579,43.96,43.41,74.0,Yes</t>
  </si>
  <si>
    <t>PO-00232,Gamma_Co,2022-03-14,2022-03-26,Electronics,Delivered,1421,11.92,11.72,76.0,Yes</t>
  </si>
  <si>
    <t>PO-00233,Epsilon_Group,2023-12-26,2024-01-04,MRO,Delivered,1546,43.47,37.37,53.0,Yes</t>
  </si>
  <si>
    <t>PO-00234,Delta_Logistics,2023-10-09,2023-10-18,Electronics,Delivered,1304,32.08,29.36,,Yes</t>
  </si>
  <si>
    <t>PO-00235,Delta_Logistics,2022-03-02,,Raw Materials,Delivered,239,39.87,35.47,32.0,Yes</t>
  </si>
  <si>
    <t>PO-00236,Alpha_Inc,2022-08-23,,Office Supplies,Delivered,1298,21.51,20.83,,Yes</t>
  </si>
  <si>
    <t>PO-00237,Delta_Logistics,2022-03-11,,MRO,Delivered,1458,91.05,81.56,220.0,Yes</t>
  </si>
  <si>
    <t>PO-00238,Gamma_Co,2022-02-02,2022-02-13,MRO,Delivered,1450,63.74,59.11,71.0,Yes</t>
  </si>
  <si>
    <t>PO-00239,Beta_Supplies,2022-12-05,2022-12-20,Electronics,Delivered,1356,75.03,63.86,131.0,Yes</t>
  </si>
  <si>
    <t>PO-00240,Gamma_Co,2022-03-14,,Packaging,Delivered,682,81.84,71.86,40.0,Yes</t>
  </si>
  <si>
    <t>PO-00241,Gamma_Co,2023-06-11,2023-06-19,Packaging,Delivered,677,59.52,55.29,39.0,Yes</t>
  </si>
  <si>
    <t>PO-00242,Delta_Logistics,2022-09-01,2022-09-14,Office Supplies,Delivered,1022,18.54,16.55,150.0,Yes</t>
  </si>
  <si>
    <t>PO-00243,Alpha_Inc,2022-10-13,,Raw Materials,Delivered,1818,60.96,57.13,41.0,Yes</t>
  </si>
  <si>
    <t>PO-00244,Epsilon_Group,2023-11-17,2023-11-29,Electronics,Delivered,1332,69.73,63.8,41.0,Yes</t>
  </si>
  <si>
    <t>PO-00245,Beta_Supplies,2023-05-13,2023-05-26,Raw Materials,Delivered,1432,83.26,77.67,174.0,Yes</t>
  </si>
  <si>
    <t>PO-00246,Beta_Supplies,2022-08-08,2022-08-26,Packaging,Pending,759,50.56,46.47,63.0,No</t>
  </si>
  <si>
    <t>PO-00247,Alpha_Inc,2023-07-07,2023-07-19,Packaging,Delivered,1529,23.42,22.44,30.0,Yes</t>
  </si>
  <si>
    <t>PO-00248,Gamma_Co,2022-05-16,2022-05-25,Electronics,Delivered,1484,36.25,31.8,61.0,Yes</t>
  </si>
  <si>
    <t>PO-00249,Epsilon_Group,2023-08-08,2023-08-20,Packaging,Delivered,698,46.73,45.61,15.0,Yes</t>
  </si>
  <si>
    <t>PO-00250,Epsilon_Group,2023-08-14,2023-08-22,Packaging,Pending,367,74.61,71.36,13.0,Yes</t>
  </si>
  <si>
    <t>PO-00251,Epsilon_Group,2023-04-30,2023-05-20,Office Supplies,Partially Delivered,1750,65.97,58.34,50.0,Yes</t>
  </si>
  <si>
    <t>PO-00252,Delta_Logistics,2022-09-06,2022-09-24,Office Supplies,Partially Delivered,1298,43.73,37.21,,No</t>
  </si>
  <si>
    <t>PO-00253,Gamma_Co,2023-04-30,2023-05-20,Packaging,Delivered,1892,106.2,96.37,93.0,Yes</t>
  </si>
  <si>
    <t>PO-00254,Beta_Supplies,2023-02-21,2023-02-24,Electronics,Delivered,1307,68.71,60.64,141.0,Yes</t>
  </si>
  <si>
    <t>PO-00255,Beta_Supplies,2022-07-14,2022-07-29,Electronics,Delivered,733,32.29,29.01,78.0,Yes</t>
  </si>
  <si>
    <t>PO-00256,Gamma_Co,2022-04-07,,Packaging,Delivered,713,19.45,18.82,31.0,Yes</t>
  </si>
  <si>
    <t>PO-00257,Beta_Supplies,2022-04-10,2022-04-24,Packaging,Delivered,1900,24.11,23.45,188.0,Yes</t>
  </si>
  <si>
    <t>PO-00258,Delta_Logistics,2023-11-06,2023-11-08,MRO,Cancelled,1447,35.67,35.07,224.0,No</t>
  </si>
  <si>
    <t>PO-00259,Epsilon_Group,2023-03-18,,Office Supplies,Delivered,1745,26.17,22.25,55.0,Yes</t>
  </si>
  <si>
    <t>PO-00260,Beta_Supplies,2022-12-29,2023-01-14,Office Supplies,Delivered,1681,28.26,26.62,143.0,Yes</t>
  </si>
  <si>
    <t>PO-00261,Delta_Logistics,2023-03-10,2023-03-18,Electronics,Delivered,1545,38.15,36.96,214.0,Yes</t>
  </si>
  <si>
    <t>PO-00262,Epsilon_Group,2023-02-25,2023-03-02,Raw Materials,Delivered,1306,27.27,25.96,39.0,Yes</t>
  </si>
  <si>
    <t>PO-00263,Gamma_Co,2023-04-24,2023-05-06,Raw Materials,Delivered,1765,97.51,84.3,65.0,Yes</t>
  </si>
  <si>
    <t>PO-00264,Gamma_Co,2022-02-25,2022-03-15,Packaging,Cancelled,1186,17.31,16.0,64.0,Yes</t>
  </si>
  <si>
    <t>PO-00265,Delta_Logistics,2023-11-21,2023-11-26,Packaging,Delivered,1903,63.5,56.09,254.0,Yes</t>
  </si>
  <si>
    <t>PO-00266,Delta_Logistics,2023-11-01,2023-11-05,MRO,Delivered,1570,52.1,47.87,,No</t>
  </si>
  <si>
    <t>PO-00267,Delta_Logistics,2023-10-24,2023-11-13,MRO,Delivered,491,108.75,93.35,,No</t>
  </si>
  <si>
    <t>PO-00268,Beta_Supplies,2022-04-11,2022-04-20,Electronics,Partially Delivered,613,20.38,20.17,58.0,Yes</t>
  </si>
  <si>
    <t>PO-00269,Gamma_Co,2022-03-04,2022-03-16,Raw Materials,Partially Delivered,1341,46.27,43.94,63.0,Yes</t>
  </si>
  <si>
    <t>PO-00270,Beta_Supplies,2023-02-17,2023-03-04,MRO,Partially Delivered,1583,103.57,89.38,164.0,Yes</t>
  </si>
  <si>
    <t>PO-00271,Beta_Supplies,2022-12-14,,Raw Materials,Cancelled,1880,92.73,90.78,173.0,Yes</t>
  </si>
  <si>
    <t>PO-00272,Epsilon_Group,2022-04-22,2022-04-26,MRO,Delivered,1459,84.79,82.72,47.0,Yes</t>
  </si>
  <si>
    <t>PO-00273,Delta_Logistics,2022-09-12,,Office Supplies,Delivered,1460,34.54,31.87,208.0,No</t>
  </si>
  <si>
    <t>PO-00274,Beta_Supplies,2022-07-16,2022-07-28,Packaging,Partially Delivered,1186,26.14,24.78,112.0,Yes</t>
  </si>
  <si>
    <t>PO-00275,Epsilon_Group,2022-07-14,2022-07-23,MRO,Pending,1686,72.28,65.21,53.0,Yes</t>
  </si>
  <si>
    <t>PO-00276,Alpha_Inc,2023-07-04,2023-07-08,MRO,Delivered,1698,102.07,100.69,28.0,Yes</t>
  </si>
  <si>
    <t>PO-00277,Epsilon_Group,2023-04-05,,Electronics,Delivered,1001,64.62,55.7,32.0,Yes</t>
  </si>
  <si>
    <t>PO-00278,Alpha_Inc,2022-05-24,2022-05-27,Office Supplies,Delivered,1154,62.67,54.11,25.0,Yes</t>
  </si>
  <si>
    <t>PO-00279,Alpha_Inc,2023-03-09,2023-03-29,Packaging,Cancelled,748,37.66,32.71,,No</t>
  </si>
  <si>
    <t>PO-00280,Alpha_Inc,2022-07-07,,Office Supplies,Delivered,162,81.63,78.76,2.0,Yes</t>
  </si>
  <si>
    <t>PO-00281,Alpha_Inc,2022-10-13,2022-10-24,Packaging,Delivered,51,28.04,24.13,0.0,Yes</t>
  </si>
  <si>
    <t>PO-00282,Delta_Logistics,2023-04-19,2023-04-24,Office Supplies,Delivered,691,42.07,39.1,106.0,Yes</t>
  </si>
  <si>
    <t>PO-00283,Beta_Supplies,2022-09-13,2022-09-20,Office Supplies,Delivered,269,50.22,45.75,32.0,No</t>
  </si>
  <si>
    <t>PO-00284,Beta_Supplies,2022-03-19,2022-04-06,Electronics,Pending,1639,56.24,55.4,147.0,Yes</t>
  </si>
  <si>
    <t>PO-00285,Alpha_Inc,2023-03-30,2023-04-06,Raw Materials,Delivered,904,34.04,30.06,26.0,Yes</t>
  </si>
  <si>
    <t>PO-00286,Beta_Supplies,2023-07-18,2023-07-26,Office Supplies,Delivered,1809,22.17,19.65,,Yes</t>
  </si>
  <si>
    <t>PO-00287,Alpha_Inc,2022-04-11,2022-04-16,Packaging,Delivered,1298,65.93,58.95,,Yes</t>
  </si>
  <si>
    <t>PO-00288,Beta_Supplies,2022-02-21,2022-03-13,Packaging,Delivered,434,36.16,34.79,41.0,Yes</t>
  </si>
  <si>
    <t>PO-00289,Epsilon_Group,2023-10-30,2023-11-04,Electronics,Delivered,1476,68.85,65.28,43.0,Yes</t>
  </si>
  <si>
    <t>PO-00290,Delta_Logistics,2023-07-08,,Raw Materials,Partially Delivered,1711,26.04,24.81,290.0,Yes</t>
  </si>
  <si>
    <t>PO-00291,Gamma_Co,2022-01-16,2022-01-22,Packaging,Delivered,1203,53.3,47.68,49.0,Yes</t>
  </si>
  <si>
    <t>PO-00292,Alpha_Inc,2022-04-06,2022-04-07,Electronics,Delivered,1126,58.8,52.22,,Yes</t>
  </si>
  <si>
    <t>PO-00293,Epsilon_Group,2022-08-31,2022-09-12,Packaging,Delivered,1757,15.18,13.06,63.0,Yes</t>
  </si>
  <si>
    <t>PO-00294,Epsilon_Group,2022-06-20,2022-06-28,MRO,Delivered,779,41.3,36.28,20.0,Yes</t>
  </si>
  <si>
    <t>PO-00295,Delta_Logistics,2023-02-21,2023-02-22,Office Supplies,Delivered,1745,23.53,22.57,282.0,No</t>
  </si>
  <si>
    <t>PO-00296,Delta_Logistics,2023-05-13,2023-05-15,Raw Materials,Delivered,1783,16.96,15.8,295.0,Yes</t>
  </si>
  <si>
    <t>PO-00297,Alpha_Inc,2023-05-08,2023-05-22,Office Supplies,Partially Delivered,1489,107.02,93.3,,Yes</t>
  </si>
  <si>
    <t>PO-00298,Alpha_Inc,2022-08-07,2022-08-10,Office Supplies,Delivered,296,40.38,35.25,,Yes</t>
  </si>
  <si>
    <t>PO-00299,Epsilon_Group,2023-02-15,2023-02-27,MRO,Delivered,885,88.28,80.8,31.0,Yes</t>
  </si>
  <si>
    <t>PO-00300,Epsilon_Group,2022-03-02,2022-03-06,Raw Materials,Pending,1512,33.25,30.15,53.0,Yes</t>
  </si>
  <si>
    <t>PO-00301,Delta_Logistics,2022-06-18,2022-06-26,Office Supplies,Delivered,252,73.12,67.64,,No</t>
  </si>
  <si>
    <t>PO-00302,Alpha_Inc,2023-01-24,,Electronics,Cancelled,1257,83.13,81.89,30.0,Yes</t>
  </si>
  <si>
    <t>PO-00303,Alpha_Inc,2022-01-03,2022-01-20,Packaging,Delivered,172,63.61,55.92,4.0,Yes</t>
  </si>
  <si>
    <t>PO-00304,Epsilon_Group,2023-02-04,2023-02-05,Packaging,Pending,450,55.85,49.88,9.0,Yes</t>
  </si>
  <si>
    <t>PO-00305,Gamma_Co,2022-09-29,2022-10-15,Electronics,Delivered,816,48.95,43.42,45.0,Yes</t>
  </si>
  <si>
    <t>PO-00306,Epsilon_Group,2023-04-11,2023-04-25,Packaging,Delivered,343,44.5,38.57,7.0,Yes</t>
  </si>
  <si>
    <t>PO-00307,Gamma_Co,2022-10-20,2022-11-05,MRO,Delivered,329,97.87,85.35,21.0,No</t>
  </si>
  <si>
    <t>PO-00308,Alpha_Inc,2023-03-10,2023-03-25,Electronics,Delivered,1910,90.69,85.8,,Yes</t>
  </si>
  <si>
    <t>PO-00309,Epsilon_Group,2023-12-15,2023-12-18,MRO,Delivered,933,107.99,104.29,29.0,Yes</t>
  </si>
  <si>
    <t>PO-00310,Delta_Logistics,2023-07-24,2023-07-29,Raw Materials,Delivered,1683,23.09,21.88,253.0,Yes</t>
  </si>
  <si>
    <t>PO-00311,Beta_Supplies,2023-11-09,2023-11-18,Packaging,Pending,247,84.11,71.97,,Yes</t>
  </si>
  <si>
    <t>PO-00312,Alpha_Inc,2023-05-14,2023-06-02,MRO,Delivered,1031,102.01,98.65,,Yes</t>
  </si>
  <si>
    <t>PO-00313,Alpha_Inc,2022-06-08,2022-06-19,Packaging,Delivered,1980,26.97,24.16,41.0,Yes</t>
  </si>
  <si>
    <t>PO-00314,Epsilon_Group,2022-07-14,2022-08-03,Raw Materials,Delivered,1584,16.46,14.2,57.0,Yes</t>
  </si>
  <si>
    <t>PO-00315,Beta_Supplies,2022-10-31,2022-11-15,Office Supplies,Delivered,801,80.15,70.91,,Yes</t>
  </si>
  <si>
    <t>PO-00316,Beta_Supplies,2022-08-11,2022-08-25,Packaging,Delivered,193,63.86,57.46,,Yes</t>
  </si>
  <si>
    <t>PO-00317,Beta_Supplies,2022-03-01,2022-03-05,Raw Materials,Delivered,658,86.62,79.85,72.0,Yes</t>
  </si>
  <si>
    <t>PO-00318,Epsilon_Group,2023-08-17,2023-09-04,Electronics,Delivered,1274,24.72,23.36,37.0,Yes</t>
  </si>
  <si>
    <t>PO-00319,Epsilon_Group,2023-07-10,2023-07-17,Packaging,Partially Delivered,1197,88.92,78.82,31.0,Yes</t>
  </si>
  <si>
    <t>PO-00320,Gamma_Co,2022-03-04,2022-03-12,Electronics,Delivered,236,28.43,28.11,11.0,Yes</t>
  </si>
  <si>
    <t>PO-00321,Gamma_Co,2022-11-18,2022-12-03,Raw Materials,Partially Delivered,1399,25.97,22.19,62.0,Yes</t>
  </si>
  <si>
    <t>PO-00322,Gamma_Co,2022-02-28,2022-03-04,Electronics,Delivered,513,24.91,22.58,29.0,Yes</t>
  </si>
  <si>
    <t>PO-00323,Delta_Logistics,2022-02-21,2022-03-04,MRO,Delivered,1422,83.73,76.47,198.0,Yes</t>
  </si>
  <si>
    <t>PO-00324,Alpha_Inc,2023-08-22,2023-09-03,Office Supplies,Delivered,1844,76.51,73.05,,Yes</t>
  </si>
  <si>
    <t>PO-00325,Gamma_Co,2023-05-04,,Electronics,Delivered,709,61.64,54.55,41.0,Yes</t>
  </si>
  <si>
    <t>PO-00326,Delta_Logistics,2023-05-30,2023-06-15,MRO,Delivered,813,45.68,41.78,,No</t>
  </si>
  <si>
    <t>PO-00327,Delta_Logistics,2023-06-28,2023-07-01,Office Supplies,Delivered,1004,96.51,92.9,146.0,No</t>
  </si>
  <si>
    <t>PO-00328,Epsilon_Group,2022-06-11,2022-06-15,Raw Materials,Delivered,452,46.45,40.39,9.0,Yes</t>
  </si>
  <si>
    <t>PO-00329,Beta_Supplies,2022-02-28,2022-03-12,Raw Materials,Pending,1419,83.91,71.46,137.0,Yes</t>
  </si>
  <si>
    <t>PO-00330,Beta_Supplies,2023-06-05,2023-06-23,Packaging,Delivered,1584,53.73,51.92,167.0,No</t>
  </si>
  <si>
    <t>PO-00331,Gamma_Co,2022-03-24,2022-04-11,MRO,Pending,196,44.36,43.81,6.0,Yes</t>
  </si>
  <si>
    <t>PO-00332,Alpha_Inc,2022-07-10,2022-07-14,Office Supplies,Delivered,1221,53.19,46.18,29.0,Yes</t>
  </si>
  <si>
    <t>PO-00333,Alpha_Inc,2022-03-12,2022-03-26,Packaging,Delivered,913,37.5,36.2,,Yes</t>
  </si>
  <si>
    <t>PO-00334,Alpha_Inc,2023-09-02,2023-09-04,Packaging,Delivered,1784,85.01,76.69,37.0,Yes</t>
  </si>
  <si>
    <t>PO-00335,Delta_Logistics,2022-03-11,,Raw Materials,Delivered,1893,55.8,52.35,,Yes</t>
  </si>
  <si>
    <t>PO-00336,Delta_Logistics,2023-11-23,2023-12-05,Electronics,Pending,538,34.3,32.25,84.0,No</t>
  </si>
  <si>
    <t>PO-00337,Delta_Logistics,2022-08-29,2022-09-15,Office Supplies,Pending,978,94.15,87.7,149.0,No</t>
  </si>
  <si>
    <t>PO-00338,Epsilon_Group,2023-02-18,2023-03-06,Raw Materials,Cancelled,1713,47.45,42.05,53.0,Yes</t>
  </si>
  <si>
    <t>PO-00339,Delta_Logistics,2022-05-03,2022-05-07,Raw Materials,Pending,600,60.1,57.92,95.0,No</t>
  </si>
  <si>
    <t>PO-00340,Alpha_Inc,2023-08-07,2023-08-25,Electronics,Pending,387,100.28,85.54,5.0,Yes</t>
  </si>
  <si>
    <t>PO-00341,Alpha_Inc,2022-09-10,2022-09-19,MRO,Pending,921,68.83,59.13,22.0,Yes</t>
  </si>
  <si>
    <t>PO-00342,Beta_Supplies,2023-08-16,2023-08-30,MRO,Delivered,690,22.47,21.94,77.0,Yes</t>
  </si>
  <si>
    <t>PO-00343,Alpha_Inc,2023-09-01,2023-09-21,Office Supplies,Cancelled,1852,104.04,94.89,36.0,Yes</t>
  </si>
  <si>
    <t>PO-00344,Delta_Logistics,2022-02-10,2022-02-28,Electronics,Delivered,522,66.83,58.01,74.0,Yes</t>
  </si>
  <si>
    <t>PO-00345,Delta_Logistics,2023-09-27,2023-10-06,Electronics,Delivered,200,44.16,43.13,21.0,Yes</t>
  </si>
  <si>
    <t>PO-00346,Gamma_Co,2022-03-25,2022-04-03,Packaging,Delivered,1488,22.76,21.99,,Yes</t>
  </si>
  <si>
    <t>PO-00347,Epsilon_Group,2023-03-06,2023-03-16,Electronics,Delivered,1371,87.16,78.13,43.0,Yes</t>
  </si>
  <si>
    <t>PO-00348,Alpha_Inc,2023-11-05,,Office Supplies,Delivered,1684,73.05,62.53,,Yes</t>
  </si>
  <si>
    <t>PO-00349,Epsilon_Group,2023-08-21,2023-08-27,Electronics,Delivered,312,63.52,58.09,,Yes</t>
  </si>
  <si>
    <t>PO-00350,Alpha_Inc,2023-08-02,2023-08-21,Packaging,Cancelled,1837,99.04,86.51,39.0,Yes</t>
  </si>
  <si>
    <t>PO-00351,Beta_Supplies,2023-06-20,2023-06-23,MRO,Delivered,193,87.86,81.74,21.0,Yes</t>
  </si>
  <si>
    <t>PO-00352,Beta_Supplies,2022-11-20,2022-11-21,Electronics,Delivered,395,24.83,23.96,31.0,Yes</t>
  </si>
  <si>
    <t>PO-00353,Epsilon_Group,2022-09-25,2022-10-12,Electronics,Cancelled,673,39.58,35.83,25.0,Yes</t>
  </si>
  <si>
    <t>PO-00354,Delta_Logistics,2022-07-29,2022-08-12,Office Supplies,Cancelled,1066,33.33,28.47,162.0,No</t>
  </si>
  <si>
    <t>PO-00355,Gamma_Co,2023-11-17,2023-11-23,Packaging,Delivered,1645,85.42,80.78,73.0,No</t>
  </si>
  <si>
    <t>PO-00356,Alpha_Inc,2022-11-18,2022-11-29,Electronics,Delivered,930,13.67,11.95,16.0,Yes</t>
  </si>
  <si>
    <t>PO-00357,Alpha_Inc,2022-09-02,2022-09-21,Office Supplies,Delivered,51,63.74,56.1,0.0,Yes</t>
  </si>
  <si>
    <t>PO-00358,Gamma_Co,2022-09-29,2022-10-01,Packaging,Delivered,946,81.77,71.65,55.0,Yes</t>
  </si>
  <si>
    <t>PO-00359,Epsilon_Group,2023-02-10,2023-03-02,Raw Materials,Partially Delivered,1377,94.69,84.2,,Yes</t>
  </si>
  <si>
    <t>PO-00360,Epsilon_Group,2022-05-15,2022-05-18,Packaging,Cancelled,303,41.6,40.51,11.0,Yes</t>
  </si>
  <si>
    <t>PO-00361,Alpha_Inc,2023-11-19,2023-12-03,Raw Materials,Delivered,1725,93.14,79.62,24.0,Yes</t>
  </si>
  <si>
    <t>PO-00362,Beta_Supplies,2023-10-23,2023-11-07,Raw Materials,Cancelled,502,22.05,20.65,50.0,No</t>
  </si>
  <si>
    <t>PO-00363,Gamma_Co,2022-11-04,2022-11-11,Packaging,Delivered,1110,90.49,80.03,61.0,Yes</t>
  </si>
  <si>
    <t>PO-00364,Alpha_Inc,2023-04-14,2023-04-18,Packaging,Delivered,1233,23.08,20.57,,Yes</t>
  </si>
  <si>
    <t>PO-00365,Beta_Supplies,2022-11-20,2022-11-24,Office Supplies,Delivered,1064,48.04,43.6,94.0,Yes</t>
  </si>
  <si>
    <t>PO-00366,Epsilon_Group,2022-03-16,2022-04-04,Packaging,Partially Delivered,58,82.57,76.55,,Yes</t>
  </si>
  <si>
    <t>PO-00367,Beta_Supplies,2022-01-10,2022-01-20,MRO,Delivered,1306,23.49,20.17,116.0,No</t>
  </si>
  <si>
    <t>PO-00368,Delta_Logistics,2023-04-15,2023-04-28,Electronics,Delivered,1172,32.93,29.28,,No</t>
  </si>
  <si>
    <t>PO-00369,Alpha_Inc,2023-09-29,,Packaging,Delivered,1732,82.5,71.71,24.0,Yes</t>
  </si>
  <si>
    <t>PO-00370,Gamma_Co,2023-07-31,2023-08-07,Raw Materials,Delivered,865,81.54,71.59,39.0,Yes</t>
  </si>
  <si>
    <t>PO-00371,Beta_Supplies,2022-04-13,2022-04-20,Raw Materials,Delivered,257,68.72,66.92,22.0,Yes</t>
  </si>
  <si>
    <t>PO-00372,Epsilon_Group,2022-03-17,2022-03-26,Packaging,Delivered,1204,73.18,67.59,31.0,Yes</t>
  </si>
  <si>
    <t>PO-00373,Beta_Supplies,2023-07-05,2023-07-09,Electronics,Partially Delivered,453,64.14,60.18,51.0,Yes</t>
  </si>
  <si>
    <t>PO-00374,Epsilon_Group,2022-08-07,2022-08-21,Electronics,Delivered,201,33.81,32.54,3.0,Yes</t>
  </si>
  <si>
    <t>PO-00375,Delta_Logistics,2023-06-03,2023-06-16,Office Supplies,Delivered,103,44.61,42.88,10.0,Yes</t>
  </si>
  <si>
    <t>PO-00376,Epsilon_Group,2022-09-29,2022-10-07,Office Supplies,Delivered,1193,27.4,27.09,,Yes</t>
  </si>
  <si>
    <t>PO-00377,Gamma_Co,2022-05-16,2022-05-28,Office Supplies,Partially Delivered,1746,93.6,89.81,85.0,Yes</t>
  </si>
  <si>
    <t>PO-00378,Delta_Logistics,2022-12-24,2022-12-26,Electronics,Delivered,1993,65.94,59.36,,Yes</t>
  </si>
  <si>
    <t>PO-00379,Beta_Supplies,2022-03-12,2022-03-27,Raw Materials,Delivered,677,46.54,43.11,,No</t>
  </si>
  <si>
    <t>PO-00380,Alpha_Inc,2022-09-08,,Office Supplies,Pending,636,53.64,49.23,18.0,Yes</t>
  </si>
  <si>
    <t>PO-00381,Epsilon_Group,2023-01-14,2023-02-02,Packaging,Delivered,1698,100.97,98.73,52.0,Yes</t>
  </si>
  <si>
    <t>PO-00382,Gamma_Co,2022-10-19,2022-11-01,Office Supplies,Delivered,1493,24.87,22.89,56.0,Yes</t>
  </si>
  <si>
    <t>PO-00383,Alpha_Inc,2022-06-11,2022-06-25,Packaging,Delivered,1495,64.33,58.18,26.0,Yes</t>
  </si>
  <si>
    <t>PO-00384,Alpha_Inc,2023-03-25,2023-04-07,Packaging,Cancelled,153,59.42,52.0,3.0,Yes</t>
  </si>
  <si>
    <t>PO-00385,Delta_Logistics,2023-07-11,2023-07-22,Raw Materials,Cancelled,1925,70.88,63.41,292.0,Yes</t>
  </si>
  <si>
    <t>PO-00386,Beta_Supplies,2023-12-22,2024-01-11,Packaging,Delivered,303,12.97,11.42,,No</t>
  </si>
  <si>
    <t>PO-00387,Alpha_Inc,2022-11-06,2022-11-18,Office Supplies,Delivered,1300,92.92,90.63,,Yes</t>
  </si>
  <si>
    <t>PO-00388,Gamma_Co,2023-09-19,2023-09-23,Raw Materials,Delivered,1185,103.28,99.05,,Yes</t>
  </si>
  <si>
    <t>PO-00389,Epsilon_Group,2023-11-01,2023-11-20,Raw Materials,Delivered,559,67.56,57.98,15.0,Yes</t>
  </si>
  <si>
    <t>PO-00390,Epsilon_Group,2023-06-26,2023-06-29,Electronics,Pending,1546,78.88,78.0,38.0,Yes</t>
  </si>
  <si>
    <t>PO-00391,Epsilon_Group,2022-01-09,2022-01-19,Packaging,Delivered,148,93.02,85.96,4.0,Yes</t>
  </si>
  <si>
    <t>PO-00392,Delta_Logistics,2023-11-15,2023-11-23,Office Supplies,Delivered,202,81.75,78.26,37.0,No</t>
  </si>
  <si>
    <t>PO-00393,Gamma_Co,2023-07-22,2023-07-28,Packaging,Delivered,1934,25.86,25.6,78.0,Yes</t>
  </si>
  <si>
    <t>PO-00394,Alpha_Inc,2022-11-03,2022-11-07,Office Supplies,Delivered,963,64.96,64.07,20.0,Yes</t>
  </si>
  <si>
    <t>PO-00395,Gamma_Co,2023-11-11,2023-11-18,MRO,Delivered,1969,71.71,61.96,,Yes</t>
  </si>
  <si>
    <t>PO-00396,Delta_Logistics,2022-04-17,,Electronics,Delivered,927,48.89,46.05,138.0,Yes</t>
  </si>
  <si>
    <t>PO-00397,Delta_Logistics,2022-05-18,2022-05-23,Raw Materials,Cancelled,387,77.81,69.04,67.0,Yes</t>
  </si>
  <si>
    <t>PO-00398,Beta_Supplies,2022-09-28,2022-10-03,Electronics,Delivered,1779,97.86,94.36,176.0,Yes</t>
  </si>
  <si>
    <t>PO-00399,Gamma_Co,2022-04-29,2022-05-05,MRO,Pending,871,94.7,92.66,46.0,Yes</t>
  </si>
  <si>
    <t>PO-00400,Epsilon_Group,2022-04-20,2022-04-23,Electronics,Delivered,1236,51.33,44.03,25.0,Yes</t>
  </si>
  <si>
    <t>PO-00401,Delta_Logistics,2023-07-21,2023-08-06,Electronics,Delivered,1793,22.01,21.78,285.0,Yes</t>
  </si>
  <si>
    <t>PO-00402,Delta_Logistics,2022-06-09,2022-06-28,MRO,Delivered,1006,101.1,89.04,139.0,Yes</t>
  </si>
  <si>
    <t>PO-00403,Beta_Supplies,2022-10-06,2022-10-21,Electronics,Cancelled,1754,89.35,86.54,161.0,No</t>
  </si>
  <si>
    <t>PO-00404,Epsilon_Group,2022-10-16,2022-11-04,Electronics,Delivered,210,22.17,21.32,10.0,Yes</t>
  </si>
  <si>
    <t>PO-00405,Delta_Logistics,2023-09-12,2023-10-02,MRO,Delivered,1653,102.16,91.91,217.0,Yes</t>
  </si>
  <si>
    <t>PO-00406,Alpha_Inc,2022-08-04,2022-08-15,MRO,Partially Delivered,850,91.38,88.41,24.0,Yes</t>
  </si>
  <si>
    <t>PO-00407,Epsilon_Group,2022-12-18,2022-12-21,Raw Materials,Delivered,447,59.81,57.92,13.0,Yes</t>
  </si>
  <si>
    <t>PO-00408,Gamma_Co,2022-07-28,2022-08-07,Office Supplies,Delivered,1350,65.11,56.95,71.0,Yes</t>
  </si>
  <si>
    <t>PO-00409,Beta_Supplies,2023-12-05,2023-12-24,Office Supplies,Delivered,865,51.19,47.76,83.0,Yes</t>
  </si>
  <si>
    <t>PO-00410,Alpha_Inc,2023-10-12,2023-10-29,MRO,Delivered,1989,16.5,15.89,57.0,Yes</t>
  </si>
  <si>
    <t>PO-00411,Alpha_Inc,2022-09-28,2022-10-13,Office Supplies,Delivered,1577,41.77,39.58,32.0,Yes</t>
  </si>
  <si>
    <t>PO-00412,Gamma_Co,2023-06-02,2023-06-04,Packaging,Pending,1969,89.25,87.28,108.0,No</t>
  </si>
  <si>
    <t>PO-00413,Beta_Supplies,2023-05-16,2023-05-26,Packaging,Partially Delivered,1465,11.25,9.61,151.0,Yes</t>
  </si>
  <si>
    <t>PO-00414,Delta_Logistics,2022-09-15,2022-09-18,Packaging,Pending,1208,41.62,39.46,,Yes</t>
  </si>
  <si>
    <t>PO-00415,Beta_Supplies,2022-02-22,2022-03-11,Raw Materials,Delivered,1268,46.06,45.26,123.0,Yes</t>
  </si>
  <si>
    <t>PO-00416,Delta_Logistics,2022-04-05,2022-04-24,Office Supplies,Delivered,450,59.24,55.03,68.0,No</t>
  </si>
  <si>
    <t>PO-00417,Gamma_Co,2023-10-12,2023-10-14,Electronics,Partially Delivered,689,102.53,95.23,38.0,Yes</t>
  </si>
  <si>
    <t>PO-00418,Gamma_Co,2023-03-10,2023-03-29,MRO,Delivered,1106,44.05,38.6,51.0,Yes</t>
  </si>
  <si>
    <t>PO-00419,Alpha_Inc,2022-10-11,2022-10-22,Office Supplies,Delivered,737,43.08,42.58,21.0,Yes</t>
  </si>
  <si>
    <t>PO-00420,Alpha_Inc,2022-02-15,2022-03-04,Raw Materials,Delivered,509,76.76,74.72,7.0,No</t>
  </si>
  <si>
    <t>PO-00421,Alpha_Inc,2022-01-04,2022-01-06,Electronics,Delivered,1004,50.7,46.59,27.0,Yes</t>
  </si>
  <si>
    <t>PO-00422,Gamma_Co,2022-12-08,2022-12-19,MRO,Pending,1956,31.88,28.48,86.0,Yes</t>
  </si>
  <si>
    <t>PO-00423,Delta_Logistics,2022-05-14,,Electronics,Delivered,519,51.73,47.52,81.0,No</t>
  </si>
  <si>
    <t>PO-00424,Gamma_Co,2023-10-15,2023-10-21,MRO,Partially Delivered,1448,25.06,21.62,84.0,Yes</t>
  </si>
  <si>
    <t>PO-00425,Gamma_Co,2022-09-26,2022-10-11,Packaging,Delivered,1095,26.91,23.75,53.0,Yes</t>
  </si>
  <si>
    <t>PO-00426,Alpha_Inc,2022-06-15,,MRO,Delivered,799,56.22,49.51,18.0,Yes</t>
  </si>
  <si>
    <t>PO-00427,Beta_Supplies,2023-03-29,2023-04-18,MRO,Partially Delivered,1743,51.04,47.15,160.0,Yes</t>
  </si>
  <si>
    <t>PO-00428,Alpha_Inc,2023-07-19,2023-07-31,Raw Materials,Delivered,87,100.65,85.56,1.0,Yes</t>
  </si>
  <si>
    <t>PO-00429,Beta_Supplies,2023-12-24,,Raw Materials,Delivered,279,47.52,46.5,28.0,No</t>
  </si>
  <si>
    <t>PO-00430,Delta_Logistics,2023-03-14,2023-03-25,Raw Materials,Delivered,1438,66.61,58.5,237.0,Yes</t>
  </si>
  <si>
    <t>PO-00431,Delta_Logistics,2023-07-29,2023-07-31,Office Supplies,Partially Delivered,612,72.93,63.32,99.0,Yes</t>
  </si>
  <si>
    <t>PO-00432,Epsilon_Group,2022-01-10,2022-01-21,Packaging,Pending,487,11.18,10.63,15.0,Yes</t>
  </si>
  <si>
    <t>PO-00433,Epsilon_Group,2022-04-25,2022-04-29,Packaging,Partially Delivered,1849,70.76,69.25,51.0,Yes</t>
  </si>
  <si>
    <t>PO-00434,Epsilon_Group,2022-03-19,2022-04-01,MRO,Partially Delivered,1356,26.28,25.44,47.0,Yes</t>
  </si>
  <si>
    <t>PO-00435,Delta_Logistics,2023-12-09,2023-12-29,Raw Materials,Delivered,76,107.59,96.33,10.0,Yes</t>
  </si>
  <si>
    <t>PO-00436,Alpha_Inc,2022-06-02,2022-06-13,Packaging,Partially Delivered,275,23.96,20.44,,Yes</t>
  </si>
  <si>
    <t>PO-00437,Alpha_Inc,2023-07-13,2023-07-18,Packaging,Delivered,1350,51.57,48.07,,Yes</t>
  </si>
  <si>
    <t>PO-00438,Alpha_Inc,2022-02-06,,MRO,Delivered,847,17.77,17.39,,Yes</t>
  </si>
  <si>
    <t>PO-00439,Gamma_Co,2023-01-14,2023-01-27,MRO,Delivered,1682,105.7,101.3,94.0,Yes</t>
  </si>
  <si>
    <t>PO-00440,Epsilon_Group,2023-08-20,2023-08-23,Electronics,Delivered,333,60.44,58.54,8.0,Yes</t>
  </si>
  <si>
    <t>PO-00441,Alpha_Inc,2023-07-20,2023-08-02,Electronics,Cancelled,928,69.31,67.26,20.0,Yes</t>
  </si>
  <si>
    <t>PO-00442,Epsilon_Group,2022-06-01,2022-06-12,MRO,Partially Delivered,1009,16.44,16.18,,Yes</t>
  </si>
  <si>
    <t>PO-00443,Epsilon_Group,2023-03-17,2023-04-03,Electronics,Pending,1554,82.92,74.82,44.0,Yes</t>
  </si>
  <si>
    <t>PO-00444,Gamma_Co,2022-05-11,2022-05-25,Packaging,Partially Delivered,502,29.47,28.94,27.0,Yes</t>
  </si>
  <si>
    <t>PO-00445,Delta_Logistics,2022-02-12,2022-02-13,MRO,Delivered,1069,91.28,82.64,,Yes</t>
  </si>
  <si>
    <t>PO-00446,Alpha_Inc,2022-11-12,2022-11-18,MRO,Pending,1902,29.89,25.83,41.0,Yes</t>
  </si>
  <si>
    <t>PO-00447,Gamma_Co,2023-01-09,,Raw Materials,Pending,865,28.79,25.69,47.0,Yes</t>
  </si>
  <si>
    <t>PO-00448,Delta_Logistics,2022-02-10,2022-02-26,Packaging,Partially Delivered,708,13.36,11.61,,No</t>
  </si>
  <si>
    <t>PO-00449,Delta_Logistics,2023-01-02,2023-01-07,Packaging,Delivered,1589,55.64,48.52,,Yes</t>
  </si>
  <si>
    <t>PO-00450,Alpha_Inc,2022-08-04,2022-08-14,Office Supplies,Delivered,596,62.96,61.88,9.0,Yes</t>
  </si>
  <si>
    <t>PO-00451,Epsilon_Group,2023-11-30,2023-12-04,Office Supplies,Delivered,1265,17.66,16.97,34.0,Yes</t>
  </si>
  <si>
    <t>PO-00452,Beta_Supplies,2022-09-13,2022-10-01,Raw Materials,Delivered,1122,82.99,81.7,118.0,No</t>
  </si>
  <si>
    <t>PO-00453,Epsilon_Group,2023-11-14,2023-12-01,Office Supplies,Delivered,1585,56.38,53.05,,Yes</t>
  </si>
  <si>
    <t>PO-00454,Epsilon_Group,2022-04-16,2022-04-27,Electronics,Delivered,66,58.05,50.76,,Yes</t>
  </si>
  <si>
    <t>PO-00455,Beta_Supplies,2022-12-29,2023-01-18,MRO,Delivered,1245,52.4,51.65,118.0,No</t>
  </si>
  <si>
    <t>PO-00456,Delta_Logistics,2023-07-28,2023-08-10,Electronics,Delivered,1293,50.21,47.55,,No</t>
  </si>
  <si>
    <t>PO-00457,Beta_Supplies,2023-02-21,2023-02-27,Packaging,Delivered,207,64.29,63.01,25.0,Yes</t>
  </si>
  <si>
    <t>PO-00458,Beta_Supplies,2023-09-28,2023-10-18,Office Supplies,Delivered,526,26.37,25.32,47.0,Yes</t>
  </si>
  <si>
    <t>PO-00459,Gamma_Co,2022-06-08,2022-06-14,Electronics,Delivered,1119,27.03,23.82,,Yes</t>
  </si>
  <si>
    <t>PO-00460,Gamma_Co,2022-08-31,2022-09-02,Packaging,Delivered,1446,90.63,84.51,77.0,Yes</t>
  </si>
  <si>
    <t>PO-00461,Gamma_Co,2022-06-16,2022-06-24,Office Supplies,Delivered,567,97.53,85.29,21.0,Yes</t>
  </si>
  <si>
    <t>PO-00462,Delta_Logistics,2022-07-01,,MRO,Delivered,148,44.91,40.1,,No</t>
  </si>
  <si>
    <t>PO-00463,Beta_Supplies,2023-02-27,2023-03-14,MRO,Pending,1965,36.6,34.64,195.0,Yes</t>
  </si>
  <si>
    <t>PO-00464,Alpha_Inc,2022-01-26,2022-02-03,Office Supplies,Pending,1818,67.96,58.98,,Yes</t>
  </si>
  <si>
    <t>PO-00465,Beta_Supplies,2022-07-03,2022-07-19,MRO,Delivered,1110,48.19,45.88,112.0,Yes</t>
  </si>
  <si>
    <t>PO-00466,Delta_Logistics,2022-12-07,,Raw Materials,Delivered,329,12.96,12.74,48.0,Yes</t>
  </si>
  <si>
    <t>PO-00467,Gamma_Co,2023-02-26,2023-03-17,Office Supplies,Cancelled,1422,25.62,25.18,65.0,Yes</t>
  </si>
  <si>
    <t>PO-00468,Delta_Logistics,2023-11-17,,Raw Materials,Delivered,546,82.63,74.77,76.0,No</t>
  </si>
  <si>
    <t>PO-00469,Gamma_Co,2022-09-12,2022-09-22,Office Supplies,Partially Delivered,351,72.08,71.3,20.0,Yes</t>
  </si>
  <si>
    <t>PO-00470,Delta_Logistics,2022-10-01,2022-10-18,Raw Materials,Partially Delivered,230,13.0,12.81,,No</t>
  </si>
  <si>
    <t>PO-00471,Alpha_Inc,2022-06-13,2022-06-19,MRO,Delivered,656,30.73,26.26,17.0,Yes</t>
  </si>
  <si>
    <t>PO-00472,Gamma_Co,2023-12-20,2024-01-09,MRO,Delivered,1172,34.34,32.09,69.0,Yes</t>
  </si>
  <si>
    <t>PO-00473,Gamma_Co,2022-04-21,2022-04-30,Electronics,Delivered,749,71.53,70.02,41.0,Yes</t>
  </si>
  <si>
    <t>PO-00474,Beta_Supplies,2023-01-27,2023-02-12,Packaging,Delivered,1042,12.48,12.3,88.0,Yes</t>
  </si>
  <si>
    <t>PO-00475,Delta_Logistics,2022-02-09,2022-02-27,Raw Materials,Delivered,1189,19.47,17.15,,No</t>
  </si>
  <si>
    <t>PO-00476,Epsilon_Group,2023-04-27,,Office Supplies,Delivered,240,88.14,81.9,4.0,Yes</t>
  </si>
  <si>
    <t>PO-00477,Epsilon_Group,2022-08-16,2022-09-02,MRO,Delivered,302,26.98,26.47,9.0,Yes</t>
  </si>
  <si>
    <t>PO-00478,Beta_Supplies,2022-07-24,2022-08-03,MRO,Pending,1030,70.81,61.58,,No</t>
  </si>
  <si>
    <t>PO-00479,Delta_Logistics,2023-04-17,2023-04-23,Office Supplies,Delivered,977,33.79,32.25,137.0,Yes</t>
  </si>
  <si>
    <t>PO-00480,Alpha_Inc,2022-12-25,2023-01-11,Packaging,Delivered,1234,19.99,17.66,25.0,Yes</t>
  </si>
  <si>
    <t>PO-00481,Beta_Supplies,2022-11-09,2022-11-23,Office Supplies,Delivered,1329,33.48,33.06,146.0,Yes</t>
  </si>
  <si>
    <t>PO-00482,Gamma_Co,2022-08-22,2022-08-30,Raw Materials,Delivered,1396,77.63,67.81,58.0,Yes</t>
  </si>
  <si>
    <t>PO-00483,Alpha_Inc,2022-08-17,2022-08-29,Raw Materials,Delivered,177,90.06,87.71,7.0,Yes</t>
  </si>
  <si>
    <t>PO-00484,Delta_Logistics,2022-01-25,,Electronics,Delivered,67,84.72,73.06,9.0,Yes</t>
  </si>
  <si>
    <t>PO-00485,Gamma_Co,2023-11-07,2023-11-20,Office Supplies,Delivered,1866,50.78,48.2,96.0,Yes</t>
  </si>
  <si>
    <t>PO-00486,Epsilon_Group,2022-07-17,2022-07-25,MRO,Delivered,1808,72.23,67.86,53.0,Yes</t>
  </si>
  <si>
    <t>PO-00487,Delta_Logistics,2023-02-13,2023-02-16,Electronics,Cancelled,615,30.3,29.52,96.0,Yes</t>
  </si>
  <si>
    <t>PO-00488,Gamma_Co,2022-12-03,2022-12-04,Office Supplies,Pending,619,38.38,35.02,34.0,Yes</t>
  </si>
  <si>
    <t>PO-00489,Delta_Logistics,2022-10-13,2022-10-17,Office Supplies,Delivered,1396,94.75,84.06,210.0,Yes</t>
  </si>
  <si>
    <t>PO-00490,Gamma_Co,2022-03-13,2022-03-24,MRO,Delivered,1945,11.28,9.98,94.0,Yes</t>
  </si>
  <si>
    <t>PO-00491,Delta_Logistics,2022-10-13,2022-10-18,Packaging,Delivered,735,18.49,15.89,113.0,No</t>
  </si>
  <si>
    <t>PO-00492,Epsilon_Group,2022-12-26,2023-01-11,Office Supplies,Pending,1865,30.29,26.83,56.0,Yes</t>
  </si>
  <si>
    <t>PO-00493,Beta_Supplies,2023-10-19,2023-10-24,Electronics,Cancelled,675,13.69,11.84,52.0,Yes</t>
  </si>
  <si>
    <t>PO-00494,Gamma_Co,2023-06-06,2023-06-22,MRO,Pending,1361,28.57,24.29,65.0,Yes</t>
  </si>
  <si>
    <t>PO-00495,Gamma_Co,2023-02-14,2023-02-15,Raw Materials,Delivered,903,66.53,60.15,29.0,Yes</t>
  </si>
  <si>
    <t>PO-00496,Epsilon_Group,2023-11-27,,Packaging,Cancelled,1736,53.2,50.68,48.0,Yes</t>
  </si>
  <si>
    <t>PO-00497,Beta_Supplies,2023-07-04,2023-07-11,MRO,Delivered,1011,98.47,97.06,91.0,Yes</t>
  </si>
  <si>
    <t>PO-00498,Delta_Logistics,2022-12-06,2022-12-24,Electronics,Delivered,1712,88.17,85.86,246.0,Yes</t>
  </si>
  <si>
    <t>PO-00499,Gamma_Co,2022-01-29,,Office Supplies,Delivered,204,40.76,37.46,10.0,Yes</t>
  </si>
  <si>
    <t>PO-00500,Beta_Supplies,2022-04-29,2022-05-13,Electronics,Partially Delivered,539,33.85,30.57,34.0,No</t>
  </si>
  <si>
    <t>PO-00501,Delta_Logistics,2022-09-25,2022-10-05,Office Supplies,Delivered,1459,45.94,42.56,212.0,No</t>
  </si>
  <si>
    <t>PO-00502,Gamma_Co,2022-07-02,2022-07-06,MRO,Delivered,834,65.02,56.19,,Yes</t>
  </si>
  <si>
    <t>PO-00503,Gamma_Co,2023-08-18,2023-09-01,Packaging,Partially Delivered,1177,37.37,34.27,60.0,Yes</t>
  </si>
  <si>
    <t>PO-00504,Delta_Logistics,2022-09-29,2022-10-19,MRO,Delivered,1466,68.82,66.82,211.0,Yes</t>
  </si>
  <si>
    <t>PO-00505,Epsilon_Group,2022-02-09,2022-02-13,Electronics,Delivered,1884,47.08,44.31,54.0,Yes</t>
  </si>
  <si>
    <t>PO-00506,Beta_Supplies,2022-04-22,2022-05-08,Electronics,Delivered,295,60.58,57.32,31.0,Yes</t>
  </si>
  <si>
    <t>PO-00507,Gamma_Co,2023-09-03,2023-09-04,Raw Materials,Delivered,1249,54.18,47.29,59.0,Yes</t>
  </si>
  <si>
    <t>PO-00508,Delta_Logistics,2023-03-21,2023-04-09,Raw Materials,Delivered,1112,39.06,33.6,184.0,No</t>
  </si>
  <si>
    <t>PO-00509,Gamma_Co,2022-12-20,2022-12-25,Office Supplies,Delivered,1550,100.61,97.43,66.0,Yes</t>
  </si>
  <si>
    <t>PO-00510,Delta_Logistics,2022-11-18,2022-11-19,Electronics,Delivered,1755,82.66,73.67,258.0,No</t>
  </si>
  <si>
    <t>PO-00511,Gamma_Co,2023-03-23,2023-03-31,Raw Materials,Delivered,808,24.19,21.64,39.0,Yes</t>
  </si>
  <si>
    <t>PO-00512,Alpha_Inc,2023-09-13,2023-09-19,Raw Materials,Partially Delivered,587,96.98,95.35,14.0,Yes</t>
  </si>
  <si>
    <t>PO-00513,Epsilon_Group,2023-06-08,2023-06-11,MRO,Delivered,1940,58.45,50.29,54.0,Yes</t>
  </si>
  <si>
    <t>PO-00514,Beta_Supplies,2022-04-29,2022-05-11,Office Supplies,Cancelled,1891,91.87,80.28,158.0,Yes</t>
  </si>
  <si>
    <t>PO-00515,Epsilon_Group,2023-01-30,2023-02-16,Packaging,Delivered,970,86.91,78.44,18.0,Yes</t>
  </si>
  <si>
    <t>PO-00516,Epsilon_Group,2023-08-14,2023-08-31,MRO,Delivered,457,52.85,50.34,16.0,Yes</t>
  </si>
  <si>
    <t>PO-00517,Beta_Supplies,2022-07-14,2022-07-27,Office Supplies,Cancelled,574,12.38,11.47,,No</t>
  </si>
  <si>
    <t>PO-00518,Epsilon_Group,2022-09-18,2022-09-20,Office Supplies,Delivered,877,35.55,34.69,24.0,Yes</t>
  </si>
  <si>
    <t>PO-00519,Alpha_Inc,2022-02-15,2022-02-27,MRO,Delivered,1579,59.04,50.95,29.0,Yes</t>
  </si>
  <si>
    <t>PO-00520,Delta_Logistics,2023-12-27,2023-12-28,Raw Materials,Delivered,952,74.72,69.73,,Yes</t>
  </si>
  <si>
    <t>PO-00521,Beta_Supplies,2023-03-23,2023-03-26,Raw Materials,Pending,1898,35.53,33.25,187.0,Yes</t>
  </si>
  <si>
    <t>PO-00522,Delta_Logistics,2022-01-02,2022-01-06,Packaging,Delivered,85,22.54,20.68,6.0,Yes</t>
  </si>
  <si>
    <t>PO-00523,Gamma_Co,2023-06-17,2023-06-28,Packaging,Pending,734,92.38,78.92,34.0,No</t>
  </si>
  <si>
    <t>PO-00524,Alpha_Inc,2023-07-06,2023-07-18,Office Supplies,Delivered,69,107.47,105.53,,Yes</t>
  </si>
  <si>
    <t>PO-00525,Delta_Logistics,2023-12-05,2023-12-11,Packaging,Delivered,370,63.9,55.79,59.0,Yes</t>
  </si>
  <si>
    <t>PO-00526,Delta_Logistics,2023-11-18,2023-12-03,MRO,Delivered,1849,28.25,27.53,271.0,Yes</t>
  </si>
  <si>
    <t>PO-00527,Beta_Supplies,2022-07-21,,Packaging,Delivered,561,35.54,30.99,68.0,No</t>
  </si>
  <si>
    <t>PO-00528,Gamma_Co,2023-01-08,2023-01-14,Electronics,Delivered,449,12.35,10.67,29.0,Yes</t>
  </si>
  <si>
    <t>PO-00529,Beta_Supplies,2023-03-18,2023-03-21,Office Supplies,Delivered,703,98.75,86.78,59.0,Yes</t>
  </si>
  <si>
    <t>PO-00530,Gamma_Co,2022-03-13,2022-03-28,Electronics,Delivered,1021,20.8,18.23,37.0,Yes</t>
  </si>
  <si>
    <t>PO-00531,Beta_Supplies,2023-11-12,2023-11-19,Office Supplies,Delivered,1956,68.69,65.09,,Yes</t>
  </si>
  <si>
    <t>PO-00532,Delta_Logistics,2022-12-05,2022-12-12,Office Supplies,Partially Delivered,520,36.57,34.78,67.0,No</t>
  </si>
  <si>
    <t>PO-00533,Delta_Logistics,2023-10-01,2023-10-12,MRO,Delivered,1216,66.16,63.0,179.0,No</t>
  </si>
  <si>
    <t>PO-00534,Alpha_Inc,2022-11-18,,Raw Materials,Delivered,1165,72.06,63.93,,Yes</t>
  </si>
  <si>
    <t>PO-00535,Delta_Logistics,2023-11-11,2023-11-29,Packaging,Pending,1427,93.99,83.6,213.0,Yes</t>
  </si>
  <si>
    <t>PO-00536,Epsilon_Group,2022-05-08,2022-05-10,Electronics,Delivered,883,29.15,25.75,14.0,Yes</t>
  </si>
  <si>
    <t>PO-00537,Delta_Logistics,2022-11-04,2022-11-11,Packaging,Partially Delivered,1873,11.54,9.89,284.0,No</t>
  </si>
  <si>
    <t>PO-00538,Epsilon_Group,2023-06-04,2023-06-06,Office Supplies,Delivered,776,24.22,22.53,27.0,Yes</t>
  </si>
  <si>
    <t>PO-00539,Delta_Logistics,2022-11-13,2022-11-24,Electronics,Delivered,903,95.55,92.45,149.0,No</t>
  </si>
  <si>
    <t>PO-00540,Epsilon_Group,2023-11-14,2023-11-26,Electronics,Delivered,100,98.4,85.76,3.0,Yes</t>
  </si>
  <si>
    <t>PO-00541,Epsilon_Group,2023-02-23,2023-03-08,Office Supplies,Delivered,1738,67.91,61.15,,Yes</t>
  </si>
  <si>
    <t>PO-00542,Delta_Logistics,2022-12-01,2022-12-14,Packaging,Delivered,1771,67.57,61.48,280.0,No</t>
  </si>
  <si>
    <t>PO-00543,Epsilon_Group,2023-02-17,2023-02-23,Electronics,Delivered,624,74.39,66.3,18.0,No</t>
  </si>
  <si>
    <t>PO-00544,Alpha_Inc,2023-12-15,2023-12-31,Packaging,Partially Delivered,1263,28.75,27.1,26.0,Yes</t>
  </si>
  <si>
    <t>PO-00545,Gamma_Co,2022-10-30,2022-11-16,Electronics,Cancelled,1198,96.45,90.09,,Yes</t>
  </si>
  <si>
    <t>PO-00546,Epsilon_Group,2023-07-22,2023-07-25,Raw Materials,Delivered,199,51.98,45.64,,No</t>
  </si>
  <si>
    <t>PO-00547,Epsilon_Group,2022-05-11,2022-05-14,MRO,Pending,363,45.37,38.73,,Yes</t>
  </si>
  <si>
    <t>PO-00548,Alpha_Inc,2022-07-16,2022-07-22,Office Supplies,Delivered,619,58.4,51.04,,Yes</t>
  </si>
  <si>
    <t>PO-00549,Alpha_Inc,2023-03-07,2023-03-18,MRO,Delivered,1415,15.22,13.56,30.0,Yes</t>
  </si>
  <si>
    <t>PO-00550,Beta_Supplies,2023-11-12,2023-11-23,Packaging,Delivered,354,27.71,23.87,39.0,No</t>
  </si>
  <si>
    <t>PO-00551,Gamma_Co,2023-01-24,2023-02-03,MRO,Delivered,1765,81.01,78.43,78.0,Yes</t>
  </si>
  <si>
    <t>PO-00552,Beta_Supplies,2023-11-25,2023-12-09,MRO,Delivered,731,19.37,17.3,69.0,No</t>
  </si>
  <si>
    <t>PO-00553,Epsilon_Group,2022-06-28,2022-07-13,MRO,Delivered,887,65.89,59.67,29.0,Yes</t>
  </si>
  <si>
    <t>PO-00554,Alpha_Inc,2023-09-23,2023-09-25,MRO,Delivered,1856,35.29,32.41,26.0,Yes</t>
  </si>
  <si>
    <t>PO-00555,Epsilon_Group,2023-08-06,2023-08-18,Office Supplies,Delivered,1127,49.32,46.49,30.0,Yes</t>
  </si>
  <si>
    <t>PO-00556,Delta_Logistics,2022-11-05,2022-11-19,Raw Materials,Delivered,1052,37.78,32.6,162.0,Yes</t>
  </si>
  <si>
    <t>PO-00557,Gamma_Co,2023-02-20,2023-02-22,Raw Materials,Delivered,493,44.74,41.44,24.0,No</t>
  </si>
  <si>
    <t>PO-00558,Delta_Logistics,2023-07-16,2023-07-29,MRO,Partially Delivered,662,81.44,71.33,87.0,Yes</t>
  </si>
  <si>
    <t>PO-00559,Alpha_Inc,2022-01-01,2022-01-07,Raw Materials,Delivered,1042,36.74,35.78,33.0,Yes</t>
  </si>
  <si>
    <t>PO-00560,Alpha_Inc,2022-11-08,,Raw Materials,Delivered,313,64.03,57.74,1.0,Yes</t>
  </si>
  <si>
    <t>PO-00561,Alpha_Inc,2022-10-21,2022-11-10,Office Supplies,Delivered,1126,55.22,50.38,,Yes</t>
  </si>
  <si>
    <t>PO-00562,Gamma_Co,2022-08-04,2022-08-19,MRO,Delivered,1645,72.17,64.0,79.0,Yes</t>
  </si>
  <si>
    <t>PO-00563,Beta_Supplies,2023-03-17,2023-03-20,Packaging,Delivered,1053,100.92,92.35,104.0,Yes</t>
  </si>
  <si>
    <t>PO-00564,Epsilon_Group,2023-08-17,2023-08-29,MRO,Delivered,1693,83.14,73.3,62.0,Yes</t>
  </si>
  <si>
    <t>PO-00565,Epsilon_Group,2023-09-14,2023-10-03,Raw Materials,Pending,54,32.28,28.65,3.0,Yes</t>
  </si>
  <si>
    <t>PO-00566,Epsilon_Group,2023-11-02,2023-11-07,Packaging,Delivered,1176,14.22,12.21,33.0,Yes</t>
  </si>
  <si>
    <t>PO-00567,Epsilon_Group,2022-11-26,2022-12-08,Raw Materials,Delivered,1269,35.28,33.7,35.0,Yes</t>
  </si>
  <si>
    <t>PO-00568,Epsilon_Group,2023-04-22,2023-04-25,Raw Materials,Delivered,823,68.32,64.46,19.0,Yes</t>
  </si>
  <si>
    <t>PO-00569,Beta_Supplies,2023-03-29,2023-04-15,Electronics,Delivered,926,15.65,13.49,94.0,No</t>
  </si>
  <si>
    <t>PO-00570,Delta_Logistics,2023-03-29,2023-04-09,Electronics,Cancelled,1041,58.5,52.54,170.0,No</t>
  </si>
  <si>
    <t>PO-00571,Gamma_Co,2023-11-23,2023-12-01,Electronics,Pending,933,70.72,65.47,42.0,Yes</t>
  </si>
  <si>
    <t>PO-00572,Delta_Logistics,2022-08-07,,Raw Materials,Delivered,1423,41.48,40.9,199.0,Yes</t>
  </si>
  <si>
    <t>PO-00573,Delta_Logistics,2023-06-08,2023-06-14,MRO,Delivered,96,86.13,80.32,12.0,No</t>
  </si>
  <si>
    <t>PO-00574,Epsilon_Group,2023-04-30,2023-05-13,MRO,Delivered,916,21.06,19.53,25.0,Yes</t>
  </si>
  <si>
    <t>PO-00575,Epsilon_Group,2022-06-23,,Raw Materials,Delivered,872,17.18,16.63,20.0,Yes</t>
  </si>
  <si>
    <t>PO-00576,Beta_Supplies,2023-11-06,2023-11-15,Electronics,Delivered,985,83.85,80.88,,No</t>
  </si>
  <si>
    <t>PO-00577,Gamma_Co,2022-03-28,2022-04-04,Raw Materials,Delivered,1893,55.14,50.1,98.0,Yes</t>
  </si>
  <si>
    <t>PO-00578,Alpha_Inc,2022-10-18,,MRO,Delivered,705,75.19,69.55,19.0,Yes</t>
  </si>
  <si>
    <t>PO-00579,Delta_Logistics,2023-06-12,2023-06-28,MRO,Delivered,318,53.31,51.78,,No</t>
  </si>
  <si>
    <t>PO-00580,Alpha_Inc,2023-11-11,2023-11-16,Office Supplies,Pending,419,35.72,32.74,7.0,Yes</t>
  </si>
  <si>
    <t>PO-00581,Gamma_Co,2023-10-11,2023-10-26,MRO,Delivered,685,92.51,90.05,38.0,Yes</t>
  </si>
  <si>
    <t>PO-00582,Delta_Logistics,2023-09-27,2023-10-12,Office Supplies,Partially Delivered,1179,90.14,82.63,194.0,Yes</t>
  </si>
  <si>
    <t>PO-00583,Alpha_Inc,2022-12-10,,Raw Materials,Delivered,1743,76.51,65.88,40.0,Yes</t>
  </si>
  <si>
    <t>PO-00584,Alpha_Inc,2022-04-06,2022-04-17,MRO,Delivered,1732,35.01,34.18,40.0,Yes</t>
  </si>
  <si>
    <t>PO-00585,Beta_Supplies,2022-08-29,2022-09-01,Office Supplies,Delivered,706,65.33,62.06,60.0,No</t>
  </si>
  <si>
    <t>PO-00586,Gamma_Co,2023-11-20,2023-11-30,MRO,Cancelled,169,47.16,43.4,,Yes</t>
  </si>
  <si>
    <t>PO-00587,Gamma_Co,2022-11-14,2022-11-20,Office Supplies,Pending,880,19.15,18.69,,No</t>
  </si>
  <si>
    <t>PO-00588,Gamma_Co,2022-08-19,2022-08-25,MRO,Delivered,1860,95.8,92.17,105.0,No</t>
  </si>
  <si>
    <t>PO-00589,Delta_Logistics,2022-07-23,2022-08-09,MRO,Delivered,1677,22.98,21.71,246.0,Yes</t>
  </si>
  <si>
    <t>PO-00590,Beta_Supplies,2022-05-31,2022-06-07,Packaging,Partially Delivered,1131,97.43,91.28,103.0,Yes</t>
  </si>
  <si>
    <t>PO-00591,Epsilon_Group,2022-01-26,2022-02-03,Raw Materials,Cancelled,1419,50.14,43.46,,Yes</t>
  </si>
  <si>
    <t>PO-00592,Delta_Logistics,2022-02-17,2022-02-18,Raw Materials,Pending,790,26.8,25.62,115.0,Yes</t>
  </si>
  <si>
    <t>PO-00593,Gamma_Co,2022-09-08,2022-09-27,MRO,Pending,1547,61.12,53.43,77.0,Yes</t>
  </si>
  <si>
    <t>PO-00594,Delta_Logistics,2023-05-02,2023-05-20,Office Supplies,Cancelled,166,95.65,94.48,23.0,Yes</t>
  </si>
  <si>
    <t>PO-00595,Alpha_Inc,2023-09-18,2023-09-21,Electronics,Delivered,1903,83.49,82.33,43.0,Yes</t>
  </si>
  <si>
    <t>PO-00596,Delta_Logistics,2022-03-16,2022-03-29,Office Supplies,Partially Delivered,840,83.42,80.35,153.0,Yes</t>
  </si>
  <si>
    <t>PO-00597,Delta_Logistics,2023-04-12,,MRO,Delivered,1200,74.49,64.63,161.0,Yes</t>
  </si>
  <si>
    <t>PO-00598,Gamma_Co,2023-03-01,2023-03-18,Raw Materials,Delivered,1466,77.37,70.35,72.0,Yes</t>
  </si>
  <si>
    <t>PO-00599,Alpha_Inc,2023-10-07,2023-10-21,Office Supplies,Delivered,1981,95.5,94.39,49.0,Yes</t>
  </si>
  <si>
    <t>PO-00600,Gamma_Co,2023-08-13,2023-08-16,Packaging,Delivered,1062,35.55,32.38,,Yes</t>
  </si>
  <si>
    <t>PO-00601,Alpha_Inc,2022-07-19,2022-07-30,MRO,Delivered,1714,55.67,55.09,42.0,Yes</t>
  </si>
  <si>
    <t>PO-00602,Alpha_Inc,2023-12-15,2023-12-30,Office Supplies,Delivered,1131,33.35,31.28,23.0,Yes</t>
  </si>
  <si>
    <t>PO-00603,Alpha_Inc,2023-01-29,2023-02-15,Office Supplies,Delivered,683,104.82,101.34,,Yes</t>
  </si>
  <si>
    <t>PO-00604,Gamma_Co,2023-05-22,2023-06-09,Packaging,Partially Delivered,562,102.56,90.88,38.0,Yes</t>
  </si>
  <si>
    <t>PO-00605,Alpha_Inc,2023-02-14,2023-02-20,Electronics,Delivered,1824,14.43,14.11,36.0,Yes</t>
  </si>
  <si>
    <t>PO-00606,Beta_Supplies,2022-09-07,2022-09-12,Electronics,Partially Delivered,851,76.44,74.76,91.0,Yes</t>
  </si>
  <si>
    <t>PO-00607,Beta_Supplies,2022-06-01,2022-06-03,Office Supplies,Delivered,1169,95.6,82.16,103.0,Yes</t>
  </si>
  <si>
    <t>PO-00608,Epsilon_Group,2023-11-03,2023-11-20,MRO,Delivered,1711,29.14,26.35,48.0,Yes</t>
  </si>
  <si>
    <t>PO-00609,Beta_Supplies,2023-12-06,2023-12-12,Packaging,Pending,1191,68.14,61.71,112.0,Yes</t>
  </si>
  <si>
    <t>PO-00610,Epsilon_Group,2022-01-06,2022-01-14,Electronics,Delivered,609,92.39,82.75,29.0,Yes</t>
  </si>
  <si>
    <t>PO-00611,Beta_Supplies,2022-04-20,2022-05-07,Office Supplies,Delivered,1674,13.25,11.77,181.0,Yes</t>
  </si>
  <si>
    <t>PO-00612,Gamma_Co,2023-03-12,2023-03-15,MRO,Delivered,537,77.86,71.18,20.0,Yes</t>
  </si>
  <si>
    <t>PO-00613,Epsilon_Group,2022-08-13,2022-08-31,Electronics,Delivered,1310,38.05,37.0,45.0,Yes</t>
  </si>
  <si>
    <t>PO-00614,Delta_Logistics,2022-06-30,2022-07-10,Raw Materials,Delivered,1958,95.53,91.72,308.0,Yes</t>
  </si>
  <si>
    <t>PO-00615,Delta_Logistics,2023-12-14,2023-12-17,Office Supplies,Delivered,946,108.6,101.78,146.0,Yes</t>
  </si>
  <si>
    <t>PO-00616,Beta_Supplies,2023-06-15,2023-06-21,Packaging,Partially Delivered,1345,103.06,95.14,,Yes</t>
  </si>
  <si>
    <t>PO-00617,Delta_Logistics,2023-04-21,2023-05-10,MRO,Delivered,1262,56.63,51.46,,No</t>
  </si>
  <si>
    <t>PO-00618,Beta_Supplies,2022-02-21,2022-03-13,Office Supplies,Pending,753,88.02,79.92,75.0,Yes</t>
  </si>
  <si>
    <t>PO-00619,Beta_Supplies,2023-07-25,2023-08-14,Electronics,Delivered,1520,93.75,81.63,149.0,Yes</t>
  </si>
  <si>
    <t>PO-00620,Delta_Logistics,2022-09-13,2022-10-02,Office Supplies,Delivered,630,40.27,37.54,76.0,Yes</t>
  </si>
  <si>
    <t>PO-00621,Delta_Logistics,2022-05-05,2022-05-06,Office Supplies,Delivered,839,86.29,82.51,110.0,Yes</t>
  </si>
  <si>
    <t>PO-00622,Alpha_Inc,2023-04-13,2023-05-02,Electronics,Delivered,910,14.33,14.07,27.0,Yes</t>
  </si>
  <si>
    <t>PO-00623,Epsilon_Group,2022-05-17,2022-05-24,Raw Materials,Delivered,296,64.94,63.61,,Yes</t>
  </si>
  <si>
    <t>PO-00624,Beta_Supplies,2023-04-21,2023-05-05,MRO,Delivered,1149,33.0,30.65,141.0,Yes</t>
  </si>
  <si>
    <t>PO-00625,Delta_Logistics,2023-11-15,2023-11-16,Electronics,Delivered,203,23.14,20.0,,No</t>
  </si>
  <si>
    <t>PO-00626,Epsilon_Group,2023-06-28,2023-07-16,Office Supplies,Delivered,1729,18.36,16.34,47.0,Yes</t>
  </si>
  <si>
    <t>PO-00627,Delta_Logistics,2023-07-27,2023-08-06,Office Supplies,Delivered,1508,79.21,73.27,226.0,Yes</t>
  </si>
  <si>
    <t>PO-00628,Delta_Logistics,2023-09-02,2023-09-15,Packaging,Partially Delivered,1046,44.65,40.1,165.0,No</t>
  </si>
  <si>
    <t>PO-00629,Alpha_Inc,2022-11-21,2022-11-24,Office Supplies,Delivered,1159,78.99,71.69,14.0,Yes</t>
  </si>
  <si>
    <t>PO-00630,Beta_Supplies,2023-03-30,2023-04-05,Electronics,Delivered,746,16.99,15.35,69.0,No</t>
  </si>
  <si>
    <t>PO-00631,Beta_Supplies,2023-09-20,2023-10-06,Packaging,Delivered,1358,42.21,38.75,128.0,Yes</t>
  </si>
  <si>
    <t>PO-00632,Gamma_Co,2023-06-01,2023-06-12,Office Supplies,Delivered,1293,63.53,59.42,79.0,Yes</t>
  </si>
  <si>
    <t>PO-00633,Alpha_Inc,2023-03-13,2023-03-24,Electronics,Delivered,1142,86.85,74.28,30.0,Yes</t>
  </si>
  <si>
    <t>PO-00634,Epsilon_Group,2023-07-16,2023-07-27,MRO,Delivered,1120,42.17,37.47,33.0,Yes</t>
  </si>
  <si>
    <t>PO-00635,Alpha_Inc,2023-04-02,2023-04-14,MRO,Delivered,1058,71.3,62.04,,Yes</t>
  </si>
  <si>
    <t>PO-00636,Epsilon_Group,2022-06-12,,Office Supplies,Delivered,143,91.98,86.02,5.0,Yes</t>
  </si>
  <si>
    <t>PO-00637,Beta_Supplies,2023-05-02,2023-05-14,MRO,Delivered,1823,70.66,66.92,202.0,Yes</t>
  </si>
  <si>
    <t>PO-00638,Gamma_Co,2023-04-06,2023-04-10,Office Supplies,Delivered,1007,33.29,28.48,49.0,Yes</t>
  </si>
  <si>
    <t>PO-00639,Gamma_Co,2022-09-23,2022-10-08,Packaging,Delivered,1061,12.68,12.36,56.0,No</t>
  </si>
  <si>
    <t>PO-00640,Beta_Supplies,2022-09-11,2022-09-26,MRO,Pending,502,91.84,82.33,,Yes</t>
  </si>
  <si>
    <t>PO-00641,Delta_Logistics,2023-10-15,2023-10-19,Packaging,Delivered,1277,13.17,11.63,199.0,No</t>
  </si>
  <si>
    <t>PO-00642,Alpha_Inc,2022-10-11,2022-10-24,Packaging,Delivered,961,92.72,88.49,22.0,Yes</t>
  </si>
  <si>
    <t>PO-00643,Gamma_Co,2023-06-18,2023-07-02,Packaging,Delivered,267,62.5,61.18,17.0,Yes</t>
  </si>
  <si>
    <t>PO-00644,Delta_Logistics,2023-05-12,2023-05-18,Raw Materials,Cancelled,523,102.08,99.59,,Yes</t>
  </si>
  <si>
    <t>PO-00645,Epsilon_Group,2023-10-04,2023-10-23,Electronics,Pending,481,90.49,77.17,,Yes</t>
  </si>
  <si>
    <t>PO-00646,Gamma_Co,2022-09-02,2022-09-09,Office Supplies,Delivered,390,103.81,100.12,20.0,Yes</t>
  </si>
  <si>
    <t>PO-00647,Epsilon_Group,2022-10-09,2022-10-25,Packaging,Delivered,600,43.43,38.76,22.0,Yes</t>
  </si>
  <si>
    <t>PO-00648,Delta_Logistics,2023-03-27,,Office Supplies,Delivered,1685,84.58,75.21,253.0,No</t>
  </si>
  <si>
    <t>PO-00649,Epsilon_Group,2022-03-21,2022-03-31,Packaging,Cancelled,1362,46.64,42.85,33.0,Yes</t>
  </si>
  <si>
    <t>PO-00650,Delta_Logistics,2024-01-01,2024-01-04,Electronics,Pending,1327,59.57,56.44,169.0,Yes</t>
  </si>
  <si>
    <t>PO-00651,Epsilon_Group,2022-10-20,,MRO,Delivered,1807,69.47,60.0,50.0,Yes</t>
  </si>
  <si>
    <t>PO-00652,Alpha_Inc,2022-08-29,2022-09-06,Office Supplies,Pending,406,91.73,89.13,,Yes</t>
  </si>
  <si>
    <t>PO-00653,Gamma_Co,2022-10-06,2022-10-18,Raw Materials,Partially Delivered,72,103.0,89.49,1.0,No</t>
  </si>
  <si>
    <t>PO-00654,Gamma_Co,2022-12-10,2022-12-20,Office Supplies,Delivered,1835,83.5,82.36,85.0,No</t>
  </si>
  <si>
    <t>PO-00655,Delta_Logistics,2022-11-24,2022-12-10,Electronics,Pending,571,49.98,45.58,,No</t>
  </si>
  <si>
    <t>PO-00656,Epsilon_Group,2023-07-08,2023-07-09,Packaging,Delivered,1831,52.24,50.44,60.0,Yes</t>
  </si>
  <si>
    <t>PO-00657,Beta_Supplies,2022-03-24,2022-04-07,Office Supplies,Pending,1910,77.15,68.49,170.0,Yes</t>
  </si>
  <si>
    <t>PO-00658,Gamma_Co,2022-05-22,2022-05-31,Electronics,Partially Delivered,1173,32.12,29.18,,Yes</t>
  </si>
  <si>
    <t>PO-00659,Epsilon_Group,2022-06-04,2022-06-17,Packaging,Partially Delivered,851,20.44,19.22,22.0,Yes</t>
  </si>
  <si>
    <t>PO-00660,Epsilon_Group,2022-08-25,2022-09-07,MRO,Cancelled,1253,43.38,38.01,34.0,Yes</t>
  </si>
  <si>
    <t>PO-00661,Alpha_Inc,2023-01-28,2023-02-15,Electronics,Delivered,1296,38.0,33.42,33.0,Yes</t>
  </si>
  <si>
    <t>PO-00662,Beta_Supplies,2023-12-12,2023-12-30,Raw Materials,Delivered,1979,40.88,39.46,221.0,Yes</t>
  </si>
  <si>
    <t>PO-00663,Gamma_Co,2022-06-06,2022-06-19,Office Supplies,Delivered,811,31.8,30.33,58.0,Yes</t>
  </si>
  <si>
    <t>PO-00664,Alpha_Inc,2023-12-25,2024-01-12,Electronics,Delivered,1732,15.37,14.7,38.0,Yes</t>
  </si>
  <si>
    <t>PO-00665,Beta_Supplies,2022-08-08,2022-08-28,Packaging,Delivered,491,12.01,11.67,47.0,Yes</t>
  </si>
  <si>
    <t>PO-00666,Gamma_Co,2022-03-07,2022-03-11,Packaging,Cancelled,1681,99.88,96.38,90.0,Yes</t>
  </si>
  <si>
    <t>PO-00667,Alpha_Inc,2023-03-01,2023-03-05,Raw Materials,Partially Delivered,818,51.89,47.85,12.0,Yes</t>
  </si>
  <si>
    <t>PO-00668,Beta_Supplies,2023-02-22,2023-03-05,Office Supplies,Delivered,1065,47.49,41.42,113.0,Yes</t>
  </si>
  <si>
    <t>PO-00669,Gamma_Co,2022-12-05,2022-12-17,Packaging,Delivered,1398,75.08,67.09,57.0,Yes</t>
  </si>
  <si>
    <t>PO-00670,Beta_Supplies,2023-07-10,2023-07-17,Packaging,Delivered,565,32.31,29.76,60.0,Yes</t>
  </si>
  <si>
    <t>PO-00671,Epsilon_Group,2023-04-23,2023-05-06,Packaging,Pending,1089,102.66,89.21,33.0,Yes</t>
  </si>
  <si>
    <t>PO-00672,Delta_Logistics,2023-03-02,2023-03-04,Electronics,Delivered,841,86.43,83.77,125.0,No</t>
  </si>
  <si>
    <t>PO-00673,Delta_Logistics,2022-03-05,2022-03-16,Electronics,Delivered,385,18.23,17.74,,Yes</t>
  </si>
  <si>
    <t>PO-00674,Epsilon_Group,2022-07-31,2022-08-17,Office Supplies,Delivered,1832,49.01,41.86,52.0,Yes</t>
  </si>
  <si>
    <t>PO-00675,Beta_Supplies,2023-03-07,2023-03-27,Raw Materials,Delivered,307,95.36,83.63,29.0,Yes</t>
  </si>
  <si>
    <t>PO-00676,Epsilon_Group,2023-02-03,2023-02-08,Office Supplies,Delivered,546,101.2,97.82,21.0,Yes</t>
  </si>
  <si>
    <t>PO-00677,Delta_Logistics,2023-08-22,2023-09-11,Raw Materials,Delivered,945,57.01,55.14,147.0,No</t>
  </si>
  <si>
    <t>PO-00678,Delta_Logistics,2023-12-14,2023-12-27,MRO,Pending,209,72.71,64.34,39.0,Yes</t>
  </si>
  <si>
    <t>PO-00679,Beta_Supplies,2022-01-21,,Packaging,Delivered,1548,25.03,22.87,,Yes</t>
  </si>
  <si>
    <t>PO-00680,Delta_Logistics,2023-08-13,2023-08-23,Raw Materials,Delivered,901,108.63,106.3,141.0,Yes</t>
  </si>
  <si>
    <t>PO-00681,Epsilon_Group,2023-01-25,2023-02-11,Packaging,Delivered,1737,32.7,31.02,48.0,Yes</t>
  </si>
  <si>
    <t>PO-00682,Beta_Supplies,2023-05-04,2023-05-22,Raw Materials,Delivered,1981,102.43,90.99,204.0,Yes</t>
  </si>
  <si>
    <t>PO-00683,Epsilon_Group,2022-01-07,2022-01-26,MRO,Pending,739,68.47,66.09,19.0,Yes</t>
  </si>
  <si>
    <t>PO-00684,Beta_Supplies,2022-12-27,2022-12-28,Raw Materials,Delivered,1748,68.25,62.84,171.0,Yes</t>
  </si>
  <si>
    <t>PO-00685,Delta_Logistics,2022-11-02,2022-11-06,Office Supplies,Cancelled,429,58.95,55.35,59.0,No</t>
  </si>
  <si>
    <t>PO-00686,Gamma_Co,2023-02-04,,Electronics,Delivered,1618,32.76,28.41,62.0,Yes</t>
  </si>
  <si>
    <t>PO-00687,Beta_Supplies,2023-03-06,2023-03-07,Packaging,Delivered,1006,27.7,23.66,101.0,No</t>
  </si>
  <si>
    <t>PO-00688,Beta_Supplies,2023-07-06,2023-07-15,Electronics,Partially Delivered,740,32.53,29.35,84.0,Yes</t>
  </si>
  <si>
    <t>PO-00689,Gamma_Co,2023-07-14,,Raw Materials,Delivered,1500,29.19,27.24,72.0,Yes</t>
  </si>
  <si>
    <t>PO-00690,Delta_Logistics,2023-09-10,2023-09-29,Office Supplies,Cancelled,1686,88.18,77.15,,Yes</t>
  </si>
  <si>
    <t>PO-00691,Epsilon_Group,2022-08-14,2022-08-16,Raw Materials,Cancelled,1341,42.96,41.75,39.0,Yes</t>
  </si>
  <si>
    <t>PO-00692,Alpha_Inc,2023-05-15,2023-05-21,MRO,Cancelled,1908,16.42,15.31,36.0,Yes</t>
  </si>
  <si>
    <t>PO-00693,Gamma_Co,2022-08-13,2022-09-02,MRO,Partially Delivered,1650,100.62,90.45,85.0,Yes</t>
  </si>
  <si>
    <t>PO-00694,Alpha_Inc,2022-10-07,2022-10-20,MRO,Delivered,1490,93.57,81.68,29.0,Yes</t>
  </si>
  <si>
    <t>PO-00695,Delta_Logistics,2023-03-23,2023-03-31,Raw Materials,Delivered,1241,100.04,97.56,187.0,Yes</t>
  </si>
  <si>
    <t>PO-00696,Beta_Supplies,2023-05-13,2023-05-17,MRO,Delivered,1915,107.51,102.66,184.0,Yes</t>
  </si>
  <si>
    <t>PO-00697,Beta_Supplies,2022-01-30,2022-02-14,Raw Materials,Delivered,1116,25.65,24.28,121.0,Yes</t>
  </si>
  <si>
    <t>PO-00698,Delta_Logistics,2023-02-03,2023-02-08,Raw Materials,Delivered,1629,48.63,43.28,260.0,Yes</t>
  </si>
  <si>
    <t>PO-00699,Epsilon_Group,2022-12-11,2022-12-18,Office Supplies,Delivered,334,82.54,74.63,,Yes</t>
  </si>
  <si>
    <t>PO-00700,Epsilon_Group,2023-11-16,2023-12-06,Packaging,Delivered,446,80.63,70.37,,Yes</t>
  </si>
  <si>
    <t>PO-00701,Delta_Logistics,2023-11-27,,Electronics,Delivered,61,26.47,24.62,6.0,Yes</t>
  </si>
  <si>
    <t>PO-00702,Delta_Logistics,2023-02-19,2023-02-21,Packaging,Delivered,1680,88.85,87.53,,Yes</t>
  </si>
  <si>
    <t>PO-00703,Delta_Logistics,2022-06-19,2022-07-06,Electronics,Delivered,1375,30.95,30.02,223.0,Yes</t>
  </si>
  <si>
    <t>PO-00704,Delta_Logistics,2023-04-24,2023-05-05,Electronics,Partially Delivered,1971,32.4,30.48,321.0,Yes</t>
  </si>
  <si>
    <t>PO-00705,Delta_Logistics,2022-05-11,,Raw Materials,Pending,1326,59.49,56.21,,Yes</t>
  </si>
  <si>
    <t>PO-00706,Delta_Logistics,2023-09-30,2023-10-13,MRO,Cancelled,548,69.7,61.87,90.0,Yes</t>
  </si>
  <si>
    <t>PO-00707,Beta_Supplies,2023-07-01,2023-07-07,MRO,Delivered,803,67.81,61.53,78.0,Yes</t>
  </si>
  <si>
    <t>PO-00708,Alpha_Inc,2022-01-28,2022-02-15,MRO,Delivered,84,18.23,15.55,0.0,Yes</t>
  </si>
  <si>
    <t>PO-00709,Epsilon_Group,2023-02-08,2023-02-20,Packaging,Delivered,776,94.75,90.89,19.0,Yes</t>
  </si>
  <si>
    <t>PO-00710,Alpha_Inc,2023-08-30,2023-09-08,MRO,Delivered,898,37.12,35.54,18.0,No</t>
  </si>
  <si>
    <t>PO-00711,Beta_Supplies,2023-08-01,2023-08-08,Office Supplies,Cancelled,139,23.71,20.18,14.0,Yes</t>
  </si>
  <si>
    <t>PO-00712,Gamma_Co,2023-11-10,,Raw Materials,Delivered,825,99.89,97.65,30.0,Yes</t>
  </si>
  <si>
    <t>PO-00713,Alpha_Inc,2022-01-28,2022-02-07,MRO,Delivered,654,96.01,90.31,10.0,Yes</t>
  </si>
  <si>
    <t>PO-00714,Gamma_Co,2022-03-27,2022-04-06,MRO,Delivered,1995,88.47,82.65,87.0,No</t>
  </si>
  <si>
    <t>PO-00715,Beta_Supplies,2023-10-21,2023-10-28,MRO,Delivered,1019,91.56,77.93,111.0,No</t>
  </si>
  <si>
    <t>PO-00716,Epsilon_Group,2023-03-15,2023-03-31,Packaging,Pending,1675,73.8,65.34,42.0,Yes</t>
  </si>
  <si>
    <t>PO-00717,Gamma_Co,2022-05-19,2022-05-31,Raw Materials,Pending,1071,60.77,58.5,,Yes</t>
  </si>
  <si>
    <t>PO-00718,Beta_Supplies,2023-04-18,2023-04-27,Office Supplies,Delivered,467,19.17,17.11,49.0,Yes</t>
  </si>
  <si>
    <t>PO-00719,Delta_Logistics,2022-07-06,2022-07-25,MRO,Pending,164,48.16,47.46,27.0,Yes</t>
  </si>
  <si>
    <t>PO-00720,Epsilon_Group,2022-02-21,2022-03-06,Electronics,Cancelled,666,43.76,41.13,18.0,Yes</t>
  </si>
  <si>
    <t>PO-00721,Delta_Logistics,2022-09-24,2022-10-07,Packaging,Partially Delivered,1976,34.71,31.56,286.0,No</t>
  </si>
  <si>
    <t>PO-00722,Epsilon_Group,2023-01-24,2023-01-29,MRO,Delivered,1269,79.61,71.86,47.0,Yes</t>
  </si>
  <si>
    <t>PO-00723,Epsilon_Group,2022-12-02,2022-12-12,MRO,Delivered,875,57.63,51.8,16.0,Yes</t>
  </si>
  <si>
    <t>PO-00724,Alpha_Inc,2022-08-05,,Packaging,Partially Delivered,1574,17.9,15.85,31.0,Yes</t>
  </si>
  <si>
    <t>PO-00725,Epsilon_Group,2023-04-11,2023-04-26,Office Supplies,Partially Delivered,1699,32.05,29.34,69.0,Yes</t>
  </si>
  <si>
    <t>PO-00726,Alpha_Inc,2022-12-01,2022-12-17,Electronics,Delivered,1566,75.43,71.27,27.0,Yes</t>
  </si>
  <si>
    <t>PO-00727,Gamma_Co,2022-12-12,2022-12-30,Electronics,Delivered,1148,17.78,17.16,61.0,Yes</t>
  </si>
  <si>
    <t>PO-00728,Epsilon_Group,2023-01-24,2023-02-11,Office Supplies,Delivered,462,91.81,83.14,11.0,Yes</t>
  </si>
  <si>
    <t>PO-00729,Gamma_Co,2022-10-12,2022-10-17,Packaging,Delivered,1449,57.02,49.28,71.0,Yes</t>
  </si>
  <si>
    <t>PO-00730,Epsilon_Group,2023-03-08,2023-03-27,MRO,Delivered,1493,56.98,52.51,43.0,Yes</t>
  </si>
  <si>
    <t>PO-00731,Alpha_Inc,2022-09-16,2022-09-18,Office Supplies,Delivered,778,65.85,62.08,,No</t>
  </si>
  <si>
    <t>PO-00732,Delta_Logistics,2022-03-25,2022-04-11,Packaging,Partially Delivered,1350,85.06,82.34,,No</t>
  </si>
  <si>
    <t>PO-00733,Epsilon_Group,2023-04-27,2023-05-05,Packaging,Delivered,1070,44.4,40.07,26.0,Yes</t>
  </si>
  <si>
    <t>PO-00734,Beta_Supplies,2022-01-20,2022-02-03,Packaging,Pending,810,71.02,66.8,73.0,Yes</t>
  </si>
  <si>
    <t>PO-00735,Delta_Logistics,2023-07-07,2023-07-23,Packaging,Cancelled,725,66.4,62.1,118.0,Yes</t>
  </si>
  <si>
    <t>PO-00736,Alpha_Inc,2022-02-23,2022-02-28,Electronics,Delivered,1467,34.2,30.5,25.0,Yes</t>
  </si>
  <si>
    <t>PO-00737,Beta_Supplies,2022-12-25,2023-01-12,Packaging,Delivered,1942,93.98,81.31,198.0,Yes</t>
  </si>
  <si>
    <t>PO-00738,Gamma_Co,2022-08-18,,Office Supplies,Delivered,506,84.63,72.69,20.0,Yes</t>
  </si>
  <si>
    <t>PO-00739,Alpha_Inc,2023-10-28,2023-11-13,MRO,Delivered,969,76.53,75.64,30.0,Yes</t>
  </si>
  <si>
    <t>PO-00740,Delta_Logistics,2022-03-12,2022-03-19,MRO,Delivered,241,87.42,82.15,,Yes</t>
  </si>
  <si>
    <t>PO-00741,Gamma_Co,2023-10-30,2023-11-09,Raw Materials,Delivered,788,97.3,94.44,32.0,Yes</t>
  </si>
  <si>
    <t>PO-00742,Gamma_Co,2022-02-11,2022-02-13,Office Supplies,Delivered,1762,74.12,65.71,94.0,Yes</t>
  </si>
  <si>
    <t>PO-00743,Alpha_Inc,2022-02-01,,Raw Materials,Pending,1172,85.76,81.43,25.0,Yes</t>
  </si>
  <si>
    <t>PO-00744,Delta_Logistics,2022-09-11,2022-09-30,Office Supplies,Delivered,1621,75.68,73.78,226.0,No</t>
  </si>
  <si>
    <t>PO-00745,Alpha_Inc,2022-07-24,2022-07-26,Packaging,Delivered,1027,73.35,65.42,24.0,No</t>
  </si>
  <si>
    <t>PO-00746,Beta_Supplies,2022-01-21,,Raw Materials,Delivered,1058,65.68,57.21,101.0,Yes</t>
  </si>
  <si>
    <t>PO-00747,Beta_Supplies,2023-09-29,2023-10-05,Packaging,Delivered,145,85.52,81.86,11.0,No</t>
  </si>
  <si>
    <t>PO-00748,Epsilon_Group,2022-06-06,,Office Supplies,Delivered,1737,24.88,24.28,46.0,Yes</t>
  </si>
  <si>
    <t>PO-00749,Gamma_Co,2022-09-02,2022-09-15,Electronics,Delivered,712,92.85,89.39,43.0,Yes</t>
  </si>
  <si>
    <t>PO-00750,Epsilon_Group,2022-05-10,2022-05-16,Electronics,Delivered,1263,90.24,86.84,28.0,Yes</t>
  </si>
  <si>
    <t>PO-00751,Delta_Logistics,2023-04-30,,Electronics,Delivered,1809,13.58,12.68,,No</t>
  </si>
  <si>
    <t>PO-00752,Beta_Supplies,2023-11-17,,Electronics,Cancelled,86,93.6,88.22,5.0,Yes</t>
  </si>
  <si>
    <t>PO-00753,Epsilon_Group,2022-04-28,,MRO,Delivered,1853,21.92,20.72,,Yes</t>
  </si>
  <si>
    <t>PO-00754,Beta_Supplies,2023-08-01,2023-08-02,Electronics,Delivered,1442,43.98,41.82,140.0,No</t>
  </si>
  <si>
    <t>PO-00755,Beta_Supplies,2022-08-12,2022-09-01,Office Supplies,Pending,1768,79.61,74.97,207.0,No</t>
  </si>
  <si>
    <t>PO-00756,Beta_Supplies,2023-04-22,2023-05-03,Electronics,Partially Delivered,1598,26.3,26.03,154.0,No</t>
  </si>
  <si>
    <t>PO-00757,Alpha_Inc,2023-12-18,2024-01-05,MRO,Cancelled,328,93.23,82.63,6.0,Yes</t>
  </si>
  <si>
    <t>PO-00758,Epsilon_Group,2022-09-20,2022-09-25,Packaging,Delivered,266,88.29,80.22,4.0,Yes</t>
  </si>
  <si>
    <t>PO-00759,Gamma_Co,2023-01-13,2023-01-28,Raw Materials,Delivered,916,59.01,53.37,47.0,Yes</t>
  </si>
  <si>
    <t>PO-00760,Epsilon_Group,2022-06-21,2022-06-25,Packaging,Cancelled,922,10.84,9.27,29.0,Yes</t>
  </si>
  <si>
    <t>PO-00761,Gamma_Co,2023-09-13,2023-09-28,Packaging,Delivered,1871,39.42,37.41,101.0,No</t>
  </si>
  <si>
    <t>PO-00762,Epsilon_Group,2023-09-14,2023-09-20,Raw Materials,Delivered,1346,72.08,67.04,38.0,Yes</t>
  </si>
  <si>
    <t>PO-00763,Epsilon_Group,2022-04-28,2022-05-09,Electronics,Delivered,1954,99.78,87.47,57.0,Yes</t>
  </si>
  <si>
    <t>PO-00764,Beta_Supplies,2022-06-17,2022-07-06,Electronics,Delivered,111,68.53,65.22,11.0,Yes</t>
  </si>
  <si>
    <t>PO-00765,Gamma_Co,2022-11-15,2022-11-22,Office Supplies,Pending,645,35.05,30.88,27.0,Yes</t>
  </si>
  <si>
    <t>PO-00766,Gamma_Co,2022-04-21,2022-05-04,Electronics,Cancelled,1953,68.07,62.95,87.0,Yes</t>
  </si>
  <si>
    <t>PO-00767,Gamma_Co,2023-08-16,2023-09-02,Electronics,Delivered,778,64.17,61.6,47.0,Yes</t>
  </si>
  <si>
    <t>PO-00768,Epsilon_Group,2022-01-27,2022-02-09,Office Supplies,Delivered,1415,80.19,78.34,,Yes</t>
  </si>
  <si>
    <t>PO-00769,Gamma_Co,2022-11-16,2022-11-22,Raw Materials,Delivered,446,20.61,19.46,14.0,Yes</t>
  </si>
  <si>
    <t>PO-00770,Epsilon_Group,2023-08-13,,Office Supplies,Delivered,748,85.95,79.16,32.0,Yes</t>
  </si>
  <si>
    <t>PO-00771,Alpha_Inc,2023-11-25,2023-12-03,Electronics,Pending,1092,65.17,63.11,21.0,Yes</t>
  </si>
  <si>
    <t>PO-00772,Beta_Supplies,2023-01-20,2023-02-02,Electronics,Delivered,226,102.47,99.16,28.0,Yes</t>
  </si>
  <si>
    <t>PO-00773,Delta_Logistics,2023-02-11,2023-02-20,Electronics,Delivered,1685,43.42,42.24,262.0,Yes</t>
  </si>
  <si>
    <t>PO-00774,Alpha_Inc,2022-07-23,,Office Supplies,Delivered,445,68.94,60.35,7.0,Yes</t>
  </si>
  <si>
    <t>PO-00775,Gamma_Co,2022-03-19,2022-04-07,Raw Materials,Delivered,494,94.82,81.89,29.0,Yes</t>
  </si>
  <si>
    <t>PO-00776,Beta_Supplies,2023-08-30,2023-09-11,MRO,Delivered,1306,21.05,18.27,128.0,Yes</t>
  </si>
  <si>
    <t>PO-00777,Beta_Supplies,2023-12-09,2023-12-11,Office Supplies,Delivered,1988,105.2,93.23,187.0,Yes</t>
  </si>
  <si>
    <t>PO_ID</t>
  </si>
  <si>
    <t>Supplier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</si>
  <si>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</si>
  <si>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</si>
  <si>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</si>
  <si>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</si>
  <si>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</si>
  <si>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</si>
  <si>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</si>
  <si>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Defective_Units</t>
  </si>
  <si>
    <t>Compliance</t>
  </si>
  <si>
    <t>PO-00001</t>
  </si>
  <si>
    <t>Alpha_Inc</t>
  </si>
  <si>
    <t>Office Supplies</t>
  </si>
  <si>
    <t>Cancelled</t>
  </si>
  <si>
    <t>Yes</t>
  </si>
  <si>
    <t>PO-00002</t>
  </si>
  <si>
    <t>Delta_Logistics</t>
  </si>
  <si>
    <t>Delivered</t>
  </si>
  <si>
    <t>PO-00003</t>
  </si>
  <si>
    <t>Gamma_Co</t>
  </si>
  <si>
    <t>MRO</t>
  </si>
  <si>
    <t>PO-00004</t>
  </si>
  <si>
    <t>Beta_Supplies</t>
  </si>
  <si>
    <t>Packaging</t>
  </si>
  <si>
    <t>PO-00005</t>
  </si>
  <si>
    <t>Raw Materials</t>
  </si>
  <si>
    <t>No</t>
  </si>
  <si>
    <t>PO-00006</t>
  </si>
  <si>
    <t>Epsilon_Group</t>
  </si>
  <si>
    <t>PO-00007</t>
  </si>
  <si>
    <t>PO-00008</t>
  </si>
  <si>
    <t>PO-00009</t>
  </si>
  <si>
    <t>Partially Delivered</t>
  </si>
  <si>
    <t>PO-00010</t>
  </si>
  <si>
    <t>Pending</t>
  </si>
  <si>
    <t>PO-00011</t>
  </si>
  <si>
    <t>PO-00012</t>
  </si>
  <si>
    <t>PO-00013</t>
  </si>
  <si>
    <t>Electronics</t>
  </si>
  <si>
    <t>PO-00014</t>
  </si>
  <si>
    <t>PO-00015</t>
  </si>
  <si>
    <t>PO-00016</t>
  </si>
  <si>
    <t>PO-00017</t>
  </si>
  <si>
    <t>PO-00018</t>
  </si>
  <si>
    <t>PO-00019</t>
  </si>
  <si>
    <t>PO-00020</t>
  </si>
  <si>
    <t>PO-00021</t>
  </si>
  <si>
    <t>PO-00022</t>
  </si>
  <si>
    <t>PO-00023</t>
  </si>
  <si>
    <t>PO-00024</t>
  </si>
  <si>
    <t>PO-00025</t>
  </si>
  <si>
    <t>PO-00026</t>
  </si>
  <si>
    <t>PO-00027</t>
  </si>
  <si>
    <t>PO-00028</t>
  </si>
  <si>
    <t>PO-00029</t>
  </si>
  <si>
    <t>PO-00030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</si>
  <si>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</si>
  <si>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</si>
  <si>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</si>
  <si>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</si>
  <si>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</si>
  <si>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</si>
  <si>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</si>
  <si>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</si>
  <si>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</si>
  <si>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</si>
  <si>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</si>
  <si>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</si>
  <si>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</si>
  <si>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</si>
  <si>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</si>
  <si>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</si>
  <si>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</si>
  <si>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</si>
  <si>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</si>
  <si>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</si>
  <si>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</si>
  <si>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</si>
  <si>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</si>
  <si>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</si>
  <si>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</si>
  <si>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</si>
  <si>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</si>
  <si>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</si>
  <si>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</si>
  <si>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</si>
  <si>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</si>
  <si>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</si>
  <si>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</si>
  <si>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</si>
  <si>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</si>
  <si>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</si>
  <si>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</si>
  <si>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</si>
  <si>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</si>
  <si>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</si>
  <si>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</si>
  <si>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</si>
  <si>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</si>
  <si>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</si>
  <si>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</si>
  <si>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</si>
  <si>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</si>
  <si>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</si>
  <si>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</si>
  <si>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</si>
  <si>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</si>
  <si>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</si>
  <si>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</si>
  <si>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</si>
  <si>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</si>
  <si>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</si>
  <si>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</si>
  <si>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</si>
  <si>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</si>
  <si>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</si>
  <si>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</si>
  <si>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</si>
  <si>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</si>
  <si>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</si>
  <si>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</si>
  <si>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</si>
  <si>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</si>
  <si>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</si>
  <si>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</si>
  <si>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</si>
  <si>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</si>
  <si>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</si>
  <si>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</si>
  <si>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</si>
  <si>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</si>
  <si>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</si>
  <si>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</si>
  <si>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</si>
  <si>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</si>
  <si>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</si>
  <si>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</si>
  <si>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</si>
  <si>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</si>
  <si>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</si>
  <si>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</si>
  <si>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</si>
  <si>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</si>
  <si>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</si>
  <si>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</si>
  <si>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</si>
  <si>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</si>
  <si>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</si>
  <si>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</si>
  <si>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</si>
  <si>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</si>
  <si>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</si>
  <si>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</si>
  <si>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</si>
  <si>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</si>
  <si>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</si>
  <si>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</si>
  <si>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</si>
  <si>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</si>
  <si>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</si>
  <si>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</si>
  <si>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</si>
  <si>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</si>
  <si>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</si>
  <si>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</si>
  <si>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</si>
  <si>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</si>
  <si>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</si>
  <si>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</si>
  <si>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</si>
  <si>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</si>
  <si>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</si>
  <si>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</si>
  <si>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</si>
  <si>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</si>
  <si>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</si>
  <si>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</si>
  <si>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</si>
  <si>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</si>
  <si>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</si>
  <si>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</si>
  <si>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</si>
  <si>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</si>
  <si>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</si>
  <si>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</si>
  <si>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</si>
  <si>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</si>
  <si>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</si>
  <si>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</si>
  <si>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</si>
  <si>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</si>
  <si>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</si>
  <si>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</si>
  <si>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</si>
  <si>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</si>
  <si>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</si>
  <si>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</si>
  <si>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</si>
  <si>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</si>
  <si>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</si>
  <si>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</si>
  <si>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</si>
  <si>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</si>
  <si>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</si>
  <si>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</si>
  <si>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</si>
  <si>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</si>
  <si>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</si>
  <si>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</si>
  <si>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</si>
  <si>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</si>
  <si>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</si>
  <si>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</si>
  <si>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</si>
  <si>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</si>
  <si>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</si>
  <si>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</si>
  <si>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</si>
  <si>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</si>
  <si>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</si>
  <si>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</si>
  <si>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</si>
  <si>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</si>
  <si>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</si>
  <si>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</si>
  <si>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</si>
  <si>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</si>
  <si>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</si>
  <si>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</si>
  <si>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</si>
  <si>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</si>
  <si>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</si>
  <si>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</si>
  <si>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PO-00208</t>
  </si>
  <si>
    <t>PO-00209</t>
  </si>
  <si>
    <t>PO-00210</t>
  </si>
  <si>
    <t>PO-00211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</si>
  <si>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</si>
  <si>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</si>
  <si>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</si>
  <si>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</si>
  <si>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</si>
  <si>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</si>
  <si>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</si>
  <si>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</si>
  <si>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</si>
  <si>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</si>
  <si>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</si>
  <si>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</si>
  <si>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</si>
  <si>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</si>
  <si>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</si>
  <si>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</si>
  <si>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</si>
  <si>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</si>
  <si>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</si>
  <si>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</si>
  <si>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</si>
  <si>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</si>
  <si>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</si>
  <si>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</si>
  <si>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</si>
  <si>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</si>
  <si>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</si>
  <si>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</si>
  <si>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</si>
  <si>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</si>
  <si>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</si>
  <si>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</si>
  <si>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</si>
  <si>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</si>
  <si>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</si>
  <si>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</si>
  <si>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</si>
  <si>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</si>
  <si>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</si>
  <si>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</si>
  <si>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</si>
  <si>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</si>
  <si>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</si>
  <si>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</si>
  <si>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</si>
  <si>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</si>
  <si>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</si>
  <si>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</si>
  <si>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</si>
  <si>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</si>
  <si>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</si>
  <si>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</si>
  <si>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</si>
  <si>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</si>
  <si>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</si>
  <si>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</si>
  <si>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</si>
  <si>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</si>
  <si>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</si>
  <si>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</si>
  <si>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</si>
  <si>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</si>
  <si>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</si>
  <si>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</si>
  <si>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</si>
  <si>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</si>
  <si>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</si>
  <si>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</si>
  <si>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</si>
  <si>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</si>
  <si>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</si>
  <si>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</si>
  <si>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</si>
  <si>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</si>
  <si>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</si>
  <si>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</si>
  <si>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</si>
  <si>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</si>
  <si>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</si>
  <si>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</si>
  <si>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</si>
  <si>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</si>
  <si>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</si>
  <si>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</si>
  <si>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</si>
  <si>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</si>
  <si>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</si>
  <si>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</si>
  <si>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</si>
  <si>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</si>
  <si>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</si>
  <si>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</si>
  <si>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</si>
  <si>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</si>
  <si>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</si>
  <si>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</si>
  <si>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</si>
  <si>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</si>
  <si>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</si>
  <si>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</si>
  <si>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</si>
  <si>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</si>
  <si>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</si>
  <si>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</si>
  <si>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</si>
  <si>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</si>
  <si>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</si>
  <si>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</si>
  <si>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</si>
  <si>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</si>
  <si>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</si>
  <si>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</si>
  <si>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</si>
  <si>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</si>
  <si>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</si>
  <si>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</si>
  <si>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</si>
  <si>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</si>
  <si>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</si>
  <si>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</si>
  <si>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</si>
  <si>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</si>
  <si>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</si>
  <si>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</si>
  <si>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</si>
  <si>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</si>
  <si>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</si>
  <si>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</si>
  <si>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</si>
  <si>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</si>
  <si>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</si>
  <si>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</si>
  <si>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</si>
  <si>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</si>
  <si>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PO-00346</t>
  </si>
  <si>
    <t>PO-00347</t>
  </si>
  <si>
    <t>PO-00348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</si>
  <si>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</si>
  <si>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</si>
  <si>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</si>
  <si>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</si>
  <si>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</si>
  <si>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</si>
  <si>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</si>
  <si>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</si>
  <si>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</si>
  <si>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</si>
  <si>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</si>
  <si>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</si>
  <si>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</si>
  <si>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</si>
  <si>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</si>
  <si>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</si>
  <si>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</si>
  <si>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</si>
  <si>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</si>
  <si>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</si>
  <si>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</si>
  <si>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</si>
  <si>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</si>
  <si>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</si>
  <si>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</si>
  <si>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</si>
  <si>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</si>
  <si>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</si>
  <si>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</si>
  <si>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</si>
  <si>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</si>
  <si>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</si>
  <si>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</si>
  <si>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</si>
  <si>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</si>
  <si>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</si>
  <si>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</si>
  <si>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</si>
  <si>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</si>
  <si>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</si>
  <si>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</si>
  <si>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</si>
  <si>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</si>
  <si>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</si>
  <si>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</si>
  <si>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</si>
  <si>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</si>
  <si>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</si>
  <si>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</si>
  <si>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</si>
  <si>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</si>
  <si>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</si>
  <si>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</si>
  <si>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</si>
  <si>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</si>
  <si>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</si>
  <si>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</si>
  <si>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</si>
  <si>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</si>
  <si>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</si>
  <si>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</si>
  <si>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</si>
  <si>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</si>
  <si>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</si>
  <si>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</si>
  <si>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</si>
  <si>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</si>
  <si>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</si>
  <si>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</si>
  <si>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</si>
  <si>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</si>
  <si>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</si>
  <si>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</si>
  <si>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</si>
  <si>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</si>
  <si>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</si>
  <si>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</si>
  <si>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</si>
  <si>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</si>
  <si>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</si>
  <si>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</si>
  <si>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</si>
  <si>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</si>
  <si>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</si>
  <si>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</si>
  <si>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</si>
  <si>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</si>
  <si>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</si>
  <si>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</si>
  <si>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</si>
  <si>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</si>
  <si>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</si>
  <si>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</si>
  <si>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</si>
  <si>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</si>
  <si>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</si>
  <si>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</si>
  <si>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</si>
  <si>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</si>
  <si>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</si>
  <si>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</si>
  <si>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</si>
  <si>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</si>
  <si>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</si>
  <si>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</si>
  <si>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</si>
  <si>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</si>
  <si>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</si>
  <si>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</si>
  <si>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</si>
  <si>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</si>
  <si>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</si>
  <si>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</si>
  <si>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</si>
  <si>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</si>
  <si>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</si>
  <si>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</si>
  <si>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</si>
  <si>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</si>
  <si>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</si>
  <si>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</si>
  <si>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</si>
  <si>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</si>
  <si>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</si>
  <si>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</si>
  <si>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</si>
  <si>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</si>
  <si>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</si>
  <si>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</si>
  <si>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</si>
  <si>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</si>
  <si>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</si>
  <si>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</si>
  <si>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</si>
  <si>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</si>
  <si>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</si>
  <si>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</si>
  <si>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</si>
  <si>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</si>
  <si>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</si>
  <si>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</si>
  <si>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</si>
  <si>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</si>
  <si>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</si>
  <si>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</si>
  <si>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</si>
  <si>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</si>
  <si>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</si>
  <si>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</si>
  <si>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</si>
  <si>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</si>
  <si>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</si>
  <si>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</si>
  <si>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</si>
  <si>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</si>
  <si>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</si>
  <si>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</si>
  <si>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</si>
  <si>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</si>
  <si>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</si>
  <si>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</si>
  <si>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</si>
  <si>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</si>
  <si>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</si>
  <si>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</si>
  <si>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</si>
  <si>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</si>
  <si>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</si>
  <si>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</si>
  <si>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</si>
  <si>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</si>
  <si>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</si>
  <si>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</si>
  <si>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</si>
  <si>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</si>
  <si>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</si>
  <si>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</si>
  <si>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</si>
  <si>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</si>
  <si>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</si>
  <si>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</si>
  <si>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</si>
  <si>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</si>
  <si>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</si>
  <si>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</si>
  <si>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</si>
  <si>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</si>
  <si>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</si>
  <si>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</si>
  <si>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</si>
  <si>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</si>
  <si>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</si>
  <si>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</si>
  <si>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</si>
  <si>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</si>
  <si>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</si>
  <si>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</si>
  <si>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</si>
  <si>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</si>
  <si>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</si>
  <si>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</si>
  <si>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</si>
  <si>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</si>
  <si>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</si>
  <si>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</si>
  <si>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</si>
  <si>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</si>
  <si>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</si>
  <si>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</si>
  <si>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</si>
  <si>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</si>
  <si>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</si>
  <si>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</si>
  <si>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</si>
  <si>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</si>
  <si>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</si>
  <si>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</si>
  <si>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</si>
  <si>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</si>
  <si>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</si>
  <si>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</si>
  <si>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</si>
  <si>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</si>
  <si>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</si>
  <si>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</si>
  <si>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</si>
  <si>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</si>
  <si>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PO-00576</t>
  </si>
  <si>
    <t>PO-00577</t>
  </si>
  <si>
    <t>PO-00578</t>
  </si>
  <si>
    <t>PO-00579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</si>
  <si>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</si>
  <si>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</si>
  <si>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</si>
  <si>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</si>
  <si>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</si>
  <si>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</si>
  <si>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</si>
  <si>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</si>
  <si>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</si>
  <si>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</si>
  <si>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</si>
  <si>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</si>
  <si>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</si>
  <si>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</si>
  <si>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</si>
  <si>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</si>
  <si>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</si>
  <si>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</si>
  <si>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</si>
  <si>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</si>
  <si>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</si>
  <si>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</si>
  <si>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</si>
  <si>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</si>
  <si>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</si>
  <si>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</si>
  <si>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</si>
  <si>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</si>
  <si>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</si>
  <si>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</si>
  <si>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</si>
  <si>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</si>
  <si>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</si>
  <si>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</si>
  <si>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</si>
  <si>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</si>
  <si>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</si>
  <si>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</si>
  <si>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</si>
  <si>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</si>
  <si>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</si>
  <si>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</si>
  <si>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</si>
  <si>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</si>
  <si>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</si>
  <si>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</si>
  <si>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</si>
  <si>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</si>
  <si>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</si>
  <si>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</si>
  <si>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</si>
  <si>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</si>
  <si>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</si>
  <si>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</si>
  <si>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</si>
  <si>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</si>
  <si>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</si>
  <si>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</si>
  <si>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</si>
  <si>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</si>
  <si>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</si>
  <si>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</si>
  <si>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</si>
  <si>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</si>
  <si>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</si>
  <si>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</si>
  <si>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</si>
  <si>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</si>
  <si>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</si>
  <si>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</si>
  <si>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</si>
  <si>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</si>
  <si>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</si>
  <si>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</si>
  <si>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</si>
  <si>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</si>
  <si>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</si>
  <si>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</si>
  <si>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</si>
  <si>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</si>
  <si>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</si>
  <si>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</si>
  <si>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</si>
  <si>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</si>
  <si>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</si>
  <si>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</si>
  <si>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</si>
  <si>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</si>
  <si>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</si>
  <si>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</si>
  <si>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</si>
  <si>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</si>
  <si>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</si>
  <si>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</si>
  <si>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</si>
  <si>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</si>
  <si>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</si>
  <si>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</si>
  <si>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</si>
  <si>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PO-00679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</si>
  <si>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</si>
  <si>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</si>
  <si>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</si>
  <si>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</si>
  <si>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</si>
  <si>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</si>
  <si>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</si>
  <si>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</si>
  <si>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</si>
  <si>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</si>
  <si>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</si>
  <si>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</si>
  <si>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</si>
  <si>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</si>
  <si>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</si>
  <si>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</si>
  <si>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</si>
  <si>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</si>
  <si>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</si>
  <si>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</si>
  <si>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</si>
  <si>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PO-00701</t>
  </si>
  <si>
    <t>PO-00702</t>
  </si>
  <si>
    <t>PO-00703</t>
  </si>
  <si>
    <t>PO-00704</t>
  </si>
  <si>
    <t>PO-00705</t>
  </si>
  <si>
    <t>PO-00706</t>
  </si>
  <si>
    <t>PO-00707</t>
  </si>
  <si>
    <t>PO-00708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</si>
  <si>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</si>
  <si>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</si>
  <si>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</si>
  <si>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</si>
  <si>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</si>
  <si>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</si>
  <si>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</si>
  <si>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</si>
  <si>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</si>
  <si>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</si>
  <si>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</si>
  <si>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</si>
  <si>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</si>
  <si>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</si>
  <si>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</si>
  <si>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</si>
  <si>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</si>
  <si>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</si>
  <si>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</si>
  <si>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</si>
  <si>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</si>
  <si>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</si>
  <si>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</si>
  <si>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</si>
  <si>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</si>
  <si>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</si>
  <si>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</si>
  <si>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</si>
  <si>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</si>
  <si>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</si>
  <si>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</si>
  <si>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PO-00740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</si>
  <si>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</si>
  <si>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</si>
  <si>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</si>
  <si>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</si>
  <si>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</si>
  <si>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</si>
  <si>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</si>
  <si>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</si>
  <si>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</si>
  <si>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</si>
  <si>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PO-00751</t>
  </si>
  <si>
    <t>PO-00752</t>
  </si>
  <si>
    <t>PO-00753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</si>
  <si>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</si>
  <si>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</si>
  <si>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</si>
  <si>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</si>
  <si>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</si>
  <si>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</si>
  <si>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</si>
  <si>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</si>
  <si>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</si>
  <si>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</si>
  <si>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</si>
  <si>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</si>
  <si>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</si>
  <si>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</si>
  <si>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</si>
  <si>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</si>
  <si>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</si>
  <si>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</si>
  <si>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</si>
  <si>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</si>
  <si>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</si>
  <si>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</si>
  <si>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</si>
  <si>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</si>
  <si>
    <t>CEK MISSING VALUE</t>
  </si>
  <si>
    <t>DATA HANDLING</t>
  </si>
  <si>
    <t>HANDLING MISSING VALUE</t>
  </si>
  <si>
    <t>Lead_day</t>
  </si>
  <si>
    <t>Calculated lead_day</t>
  </si>
  <si>
    <t>Median lead day</t>
  </si>
  <si>
    <t>New_Delivery_Date</t>
  </si>
  <si>
    <t>New_Defective_Units</t>
  </si>
  <si>
    <t>med(lead_day)</t>
  </si>
  <si>
    <t>Fill missing value with order_date + med(lead_day) sesuai supplier</t>
  </si>
  <si>
    <t>Fill missing value with 0 (tidak ada defective_unit)</t>
  </si>
  <si>
    <t>CEK DUPLIKAT</t>
  </si>
  <si>
    <t>Tidak ada duplikat</t>
  </si>
  <si>
    <t>validation</t>
  </si>
  <si>
    <t>DATA VALIDATION</t>
  </si>
  <si>
    <t>Cek apakah delivered date &gt; order date =&gt; valid semua</t>
  </si>
  <si>
    <t>Ontime_Status</t>
  </si>
  <si>
    <t>Total_Amount</t>
  </si>
  <si>
    <t>Total_Negotiated</t>
  </si>
  <si>
    <t>diff_price</t>
  </si>
  <si>
    <t>is_ontime</t>
  </si>
  <si>
    <t>delivered_date - order_date</t>
  </si>
  <si>
    <t>EDA</t>
  </si>
  <si>
    <t>Ontime_status</t>
  </si>
  <si>
    <t>if lead_day &gt; mean_lead day + 7, delayed. Else ontime</t>
  </si>
  <si>
    <t>Total_amount</t>
  </si>
  <si>
    <t>quantity*unit_price</t>
  </si>
  <si>
    <t>Total_negotiated</t>
  </si>
  <si>
    <t>quantity*negotiated_price</t>
  </si>
  <si>
    <t>total_amount - total_negotiated</t>
  </si>
  <si>
    <t>if ontime_status = ontime then 1, else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</si>
</sst>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2" fontId="0" fillId="0" borderId="0" xfId="0" applyNumberFormat="1"/>
    <xf numFmtId="0" fontId="0" fillId="0" borderId="10" xfId="0" applyBorder="1"/>
    <xf numFmtId="1" fontId="0" fillId="0" borderId="0" xfId="0" applyNumberFormat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F6E1-655B-4B5C-8E42-9B88A0D94EF9}">
  <dimension ref="A1:A778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0EE1-35BC-4521-9917-949D8337D0B2}">
  <dimension ref="A1:T778"/>
  <sheetViews>
    <sheetView workbookViewId="0">
      <selection activeCell="P2" sqref="P2"/>
    </sheetView>
  </sheetViews>
  <sheetFormatPr defaultRowHeight="15" x14ac:dyDescent="0.25"/>
  <cols>
    <col min="1" max="1" width="9.28515625" bestFit="1" customWidth="1"/>
    <col min="2" max="2" width="14.28515625" bestFit="1" customWidth="1"/>
    <col min="3" max="3" width="11.28515625" bestFit="1" customWidth="1"/>
    <col min="4" max="4" width="19" bestFit="1" customWidth="1"/>
    <col min="5" max="5" width="12" hidden="1" customWidth="1"/>
    <col min="6" max="6" width="14.5703125" bestFit="1" customWidth="1"/>
    <col min="7" max="7" width="17.7109375" bestFit="1" customWidth="1"/>
    <col min="8" max="8" width="8.7109375" bestFit="1" customWidth="1"/>
    <col min="9" max="9" width="10.140625" bestFit="1" customWidth="1"/>
    <col min="10" max="10" width="16.5703125" bestFit="1" customWidth="1"/>
    <col min="11" max="11" width="20.5703125" bestFit="1" customWidth="1"/>
    <col min="12" max="12" width="15.28515625" hidden="1" customWidth="1"/>
    <col min="13" max="13" width="11.42578125" bestFit="1" customWidth="1"/>
    <col min="16" max="16" width="14.28515625" bestFit="1" customWidth="1"/>
    <col min="17" max="17" width="13.7109375" bestFit="1" customWidth="1"/>
    <col min="18" max="18" width="16.5703125" bestFit="1" customWidth="1"/>
  </cols>
  <sheetData>
    <row r="1" spans="1:20" x14ac:dyDescent="0.25">
      <c r="A1" t="s">
        <v>778</v>
      </c>
      <c r="B1" t="s">
        <v>779</v>
      </c>
      <c r="C1" t="s">
        <v>780</v>
      </c>
      <c r="D1" t="s">
        <v>1588</v>
      </c>
      <c r="E1" t="s">
        <v>781</v>
      </c>
      <c r="F1" t="s">
        <v>782</v>
      </c>
      <c r="G1" t="s">
        <v>783</v>
      </c>
      <c r="H1" t="s">
        <v>784</v>
      </c>
      <c r="I1" t="s">
        <v>785</v>
      </c>
      <c r="J1" t="s">
        <v>786</v>
      </c>
      <c r="K1" t="s">
        <v>1589</v>
      </c>
      <c r="L1" t="s">
        <v>787</v>
      </c>
      <c r="M1" t="s">
        <v>788</v>
      </c>
      <c r="N1" t="s">
        <v>1585</v>
      </c>
      <c r="O1" t="s">
        <v>1595</v>
      </c>
      <c r="P1" t="s">
        <v>1598</v>
      </c>
      <c r="Q1" t="s">
        <v>1599</v>
      </c>
      <c r="R1" t="s">
        <v>1600</v>
      </c>
      <c r="S1" t="s">
        <v>1601</v>
      </c>
      <c r="T1" t="s">
        <v>1602</v>
      </c>
    </row>
    <row r="2" spans="1:20" x14ac:dyDescent="0.25">
      <c r="A2" t="s">
        <v>789</v>
      </c>
      <c r="B2" t="s">
        <v>790</v>
      </c>
      <c r="C2" s="1">
        <v>45216</v>
      </c>
      <c r="D2" s="1">
        <f>IF(E2="",C2+VLOOKUP(B2,Lembar2!$B$19:$C$24,2,FALSE),'Procurement Dataset'!E2)</f>
        <v>45224</v>
      </c>
      <c r="E2" s="1">
        <v>45224</v>
      </c>
      <c r="F2" t="s">
        <v>791</v>
      </c>
      <c r="G2" t="s">
        <v>792</v>
      </c>
      <c r="H2" s="5">
        <v>1176</v>
      </c>
      <c r="I2" s="3">
        <v>20.13</v>
      </c>
      <c r="J2" s="3">
        <v>17.809999999999999</v>
      </c>
      <c r="K2" s="5">
        <f>IF(L2="", 0, L2)</f>
        <v>0</v>
      </c>
      <c r="M2" t="s">
        <v>793</v>
      </c>
      <c r="N2">
        <f t="shared" ref="N2:N65" si="0">IF(E2 = "", "", E2-C2)</f>
        <v>8</v>
      </c>
      <c r="O2" t="str">
        <f>IF(D2&lt;C2,"Invalid","Valid")</f>
        <v>Valid</v>
      </c>
      <c r="P2" s="1" t="str">
        <f>IF(N2&gt;=(VLOOKUP(B2,Lembar2!$B$19:$C$24,2,FALSE)+7),"Delayed","Ontime")</f>
        <v>Ontime</v>
      </c>
      <c r="Q2" s="3">
        <f>H2*I2</f>
        <v>23672.879999999997</v>
      </c>
      <c r="R2" s="3">
        <f>H2*J2</f>
        <v>20944.559999999998</v>
      </c>
      <c r="S2" s="3">
        <f>Q2-R2</f>
        <v>2728.3199999999997</v>
      </c>
      <c r="T2">
        <f>IF(P2="Ontime",1,0)</f>
        <v>1</v>
      </c>
    </row>
    <row r="3" spans="1:20" x14ac:dyDescent="0.25">
      <c r="A3" t="s">
        <v>794</v>
      </c>
      <c r="B3" t="s">
        <v>795</v>
      </c>
      <c r="C3" s="1">
        <v>44676</v>
      </c>
      <c r="D3" s="1">
        <f>IF(E3="",C3+VLOOKUP(B3,Lembar2!$B$19:$C$24,2,FALSE),'Procurement Dataset'!E3)</f>
        <v>44686</v>
      </c>
      <c r="E3" s="1">
        <v>44686</v>
      </c>
      <c r="F3" t="s">
        <v>791</v>
      </c>
      <c r="G3" t="s">
        <v>796</v>
      </c>
      <c r="H3" s="5">
        <v>1509</v>
      </c>
      <c r="I3" s="3">
        <v>39.32</v>
      </c>
      <c r="J3" s="3">
        <v>37.340000000000003</v>
      </c>
      <c r="K3" s="5">
        <f t="shared" ref="K3:K66" si="1">IF(L3="", 0, L3)</f>
        <v>235</v>
      </c>
      <c r="L3">
        <v>235</v>
      </c>
      <c r="M3" t="s">
        <v>793</v>
      </c>
      <c r="N3">
        <f t="shared" si="0"/>
        <v>10</v>
      </c>
      <c r="O3" t="str">
        <f t="shared" ref="O3:O66" si="2">IF(D3&lt;C3,"Invalid","Valid")</f>
        <v>Valid</v>
      </c>
      <c r="P3" s="1" t="str">
        <f>IF(N3&gt;=(VLOOKUP(B3,Lembar2!$B$19:$C$24,2,FALSE)+7),"Delayed","Ontime")</f>
        <v>Ontime</v>
      </c>
      <c r="Q3" s="3">
        <f t="shared" ref="Q3:Q66" si="3">H3*I3</f>
        <v>59333.88</v>
      </c>
      <c r="R3" s="3">
        <f t="shared" ref="R3:R66" si="4">H3*J3</f>
        <v>56346.060000000005</v>
      </c>
      <c r="S3" s="3">
        <f t="shared" ref="S3:S66" si="5">Q3-R3</f>
        <v>2987.8199999999924</v>
      </c>
      <c r="T3">
        <f t="shared" ref="T3:T66" si="6">IF(P3="Ontime",1,0)</f>
        <v>1</v>
      </c>
    </row>
    <row r="4" spans="1:20" x14ac:dyDescent="0.25">
      <c r="A4" t="s">
        <v>797</v>
      </c>
      <c r="B4" t="s">
        <v>798</v>
      </c>
      <c r="C4" s="1">
        <v>44587</v>
      </c>
      <c r="D4" s="1">
        <f>IF(E4="",C4+VLOOKUP(B4,Lembar2!$B$19:$C$24,2,FALSE),'Procurement Dataset'!E4)</f>
        <v>44607</v>
      </c>
      <c r="E4" s="1">
        <v>44607</v>
      </c>
      <c r="F4" t="s">
        <v>799</v>
      </c>
      <c r="G4" t="s">
        <v>796</v>
      </c>
      <c r="H4" s="5">
        <v>910</v>
      </c>
      <c r="I4" s="3">
        <v>95.51</v>
      </c>
      <c r="J4" s="3">
        <v>92.26</v>
      </c>
      <c r="K4" s="5">
        <f t="shared" si="1"/>
        <v>41</v>
      </c>
      <c r="L4">
        <v>41</v>
      </c>
      <c r="M4" t="s">
        <v>793</v>
      </c>
      <c r="N4">
        <f t="shared" si="0"/>
        <v>20</v>
      </c>
      <c r="O4" t="str">
        <f t="shared" si="2"/>
        <v>Valid</v>
      </c>
      <c r="P4" s="1" t="str">
        <f>IF(N4&gt;=(VLOOKUP(B4,Lembar2!$B$19:$C$24,2,FALSE)+7),"Delayed","Ontime")</f>
        <v>Delayed</v>
      </c>
      <c r="Q4" s="3">
        <f t="shared" si="3"/>
        <v>86914.1</v>
      </c>
      <c r="R4" s="3">
        <f t="shared" si="4"/>
        <v>83956.6</v>
      </c>
      <c r="S4" s="3">
        <f t="shared" si="5"/>
        <v>2957.5</v>
      </c>
      <c r="T4">
        <f t="shared" si="6"/>
        <v>0</v>
      </c>
    </row>
    <row r="5" spans="1:20" x14ac:dyDescent="0.25">
      <c r="A5" t="s">
        <v>800</v>
      </c>
      <c r="B5" t="s">
        <v>801</v>
      </c>
      <c r="C5" s="1">
        <v>44843</v>
      </c>
      <c r="D5" s="1">
        <f>IF(E5="",C5+VLOOKUP(B5,Lembar2!$B$19:$C$24,2,FALSE),'Procurement Dataset'!E5)</f>
        <v>44862</v>
      </c>
      <c r="E5" s="1">
        <v>44862</v>
      </c>
      <c r="F5" t="s">
        <v>802</v>
      </c>
      <c r="G5" t="s">
        <v>796</v>
      </c>
      <c r="H5" s="5">
        <v>1344</v>
      </c>
      <c r="I5" s="3">
        <v>99.85</v>
      </c>
      <c r="J5" s="3">
        <v>95.52</v>
      </c>
      <c r="K5" s="5">
        <f t="shared" si="1"/>
        <v>112</v>
      </c>
      <c r="L5">
        <v>112</v>
      </c>
      <c r="M5" t="s">
        <v>793</v>
      </c>
      <c r="N5">
        <f t="shared" si="0"/>
        <v>19</v>
      </c>
      <c r="O5" t="str">
        <f t="shared" si="2"/>
        <v>Valid</v>
      </c>
      <c r="P5" s="1" t="str">
        <f>IF(N5&gt;=(VLOOKUP(B5,Lembar2!$B$19:$C$24,2,FALSE)+7),"Delayed","Ontime")</f>
        <v>Delayed</v>
      </c>
      <c r="Q5" s="3">
        <f t="shared" si="3"/>
        <v>134198.39999999999</v>
      </c>
      <c r="R5" s="3">
        <f t="shared" si="4"/>
        <v>128378.87999999999</v>
      </c>
      <c r="S5" s="3">
        <f t="shared" si="5"/>
        <v>5819.5200000000041</v>
      </c>
      <c r="T5">
        <f t="shared" si="6"/>
        <v>0</v>
      </c>
    </row>
    <row r="6" spans="1:20" x14ac:dyDescent="0.25">
      <c r="A6" t="s">
        <v>803</v>
      </c>
      <c r="B6" t="s">
        <v>795</v>
      </c>
      <c r="C6" s="1">
        <v>44812</v>
      </c>
      <c r="D6" s="1">
        <f>IF(E6="",C6+VLOOKUP(B6,Lembar2!$B$19:$C$24,2,FALSE),'Procurement Dataset'!E6)</f>
        <v>44824</v>
      </c>
      <c r="E6" s="1">
        <v>44824</v>
      </c>
      <c r="F6" t="s">
        <v>804</v>
      </c>
      <c r="G6" t="s">
        <v>796</v>
      </c>
      <c r="H6" s="5">
        <v>1180</v>
      </c>
      <c r="I6" s="3">
        <v>64.069999999999993</v>
      </c>
      <c r="J6" s="3">
        <v>60.53</v>
      </c>
      <c r="K6" s="5">
        <f t="shared" si="1"/>
        <v>171</v>
      </c>
      <c r="L6">
        <v>171</v>
      </c>
      <c r="M6" t="s">
        <v>805</v>
      </c>
      <c r="N6">
        <f t="shared" si="0"/>
        <v>12</v>
      </c>
      <c r="O6" t="str">
        <f t="shared" si="2"/>
        <v>Valid</v>
      </c>
      <c r="P6" s="1" t="str">
        <f>IF(N6&gt;=(VLOOKUP(B6,Lembar2!$B$19:$C$24,2,FALSE)+7),"Delayed","Ontime")</f>
        <v>Ontime</v>
      </c>
      <c r="Q6" s="3">
        <f t="shared" si="3"/>
        <v>75602.599999999991</v>
      </c>
      <c r="R6" s="3">
        <f t="shared" si="4"/>
        <v>71425.399999999994</v>
      </c>
      <c r="S6" s="3">
        <f t="shared" si="5"/>
        <v>4177.1999999999971</v>
      </c>
      <c r="T6">
        <f t="shared" si="6"/>
        <v>1</v>
      </c>
    </row>
    <row r="7" spans="1:20" x14ac:dyDescent="0.25">
      <c r="A7" t="s">
        <v>806</v>
      </c>
      <c r="B7" t="s">
        <v>807</v>
      </c>
      <c r="C7" s="1">
        <v>44790</v>
      </c>
      <c r="D7" s="1">
        <f>IF(E7="",C7+VLOOKUP(B7,Lembar2!$B$19:$C$24,2,FALSE),'Procurement Dataset'!E7)</f>
        <v>44802</v>
      </c>
      <c r="E7" s="1">
        <v>44802</v>
      </c>
      <c r="F7" t="s">
        <v>799</v>
      </c>
      <c r="G7" t="s">
        <v>796</v>
      </c>
      <c r="H7" s="5">
        <v>1145</v>
      </c>
      <c r="I7" s="3">
        <v>69.209999999999994</v>
      </c>
      <c r="J7" s="3">
        <v>63.57</v>
      </c>
      <c r="K7" s="5">
        <f t="shared" si="1"/>
        <v>39</v>
      </c>
      <c r="L7">
        <v>39</v>
      </c>
      <c r="M7" t="s">
        <v>793</v>
      </c>
      <c r="N7">
        <f t="shared" si="0"/>
        <v>12</v>
      </c>
      <c r="O7" t="str">
        <f t="shared" si="2"/>
        <v>Valid</v>
      </c>
      <c r="P7" s="1" t="str">
        <f>IF(N7&gt;=(VLOOKUP(B7,Lembar2!$B$19:$C$24,2,FALSE)+7),"Delayed","Ontime")</f>
        <v>Ontime</v>
      </c>
      <c r="Q7" s="3">
        <f t="shared" si="3"/>
        <v>79245.45</v>
      </c>
      <c r="R7" s="3">
        <f t="shared" si="4"/>
        <v>72787.649999999994</v>
      </c>
      <c r="S7" s="3">
        <f t="shared" si="5"/>
        <v>6457.8000000000029</v>
      </c>
      <c r="T7">
        <f t="shared" si="6"/>
        <v>1</v>
      </c>
    </row>
    <row r="8" spans="1:20" x14ac:dyDescent="0.25">
      <c r="A8" t="s">
        <v>808</v>
      </c>
      <c r="B8" t="s">
        <v>798</v>
      </c>
      <c r="C8" s="1">
        <v>44704</v>
      </c>
      <c r="D8" s="1">
        <f>IF(E8="",C8+VLOOKUP(B8,Lembar2!$B$19:$C$24,2,FALSE),'Procurement Dataset'!E8)</f>
        <v>44715</v>
      </c>
      <c r="E8" s="1">
        <v>44715</v>
      </c>
      <c r="F8" t="s">
        <v>799</v>
      </c>
      <c r="G8" t="s">
        <v>796</v>
      </c>
      <c r="H8" s="5">
        <v>1774</v>
      </c>
      <c r="I8" s="3">
        <v>51.37</v>
      </c>
      <c r="J8" s="3">
        <v>47.82</v>
      </c>
      <c r="K8" s="5">
        <f t="shared" si="1"/>
        <v>96</v>
      </c>
      <c r="L8">
        <v>96</v>
      </c>
      <c r="M8" t="s">
        <v>805</v>
      </c>
      <c r="N8">
        <f t="shared" si="0"/>
        <v>11</v>
      </c>
      <c r="O8" t="str">
        <f t="shared" si="2"/>
        <v>Valid</v>
      </c>
      <c r="P8" s="1" t="str">
        <f>IF(N8&gt;=(VLOOKUP(B8,Lembar2!$B$19:$C$24,2,FALSE)+7),"Delayed","Ontime")</f>
        <v>Ontime</v>
      </c>
      <c r="Q8" s="3">
        <f t="shared" si="3"/>
        <v>91130.37999999999</v>
      </c>
      <c r="R8" s="3">
        <f t="shared" si="4"/>
        <v>84832.680000000008</v>
      </c>
      <c r="S8" s="3">
        <f t="shared" si="5"/>
        <v>6297.6999999999825</v>
      </c>
      <c r="T8">
        <f t="shared" si="6"/>
        <v>1</v>
      </c>
    </row>
    <row r="9" spans="1:20" x14ac:dyDescent="0.25">
      <c r="A9" t="s">
        <v>809</v>
      </c>
      <c r="B9" t="s">
        <v>790</v>
      </c>
      <c r="C9" s="1">
        <v>44666</v>
      </c>
      <c r="D9" s="1">
        <f>IF(E9="",C9+VLOOKUP(B9,Lembar2!$B$19:$C$24,2,FALSE),'Procurement Dataset'!E9)</f>
        <v>44680</v>
      </c>
      <c r="E9" s="1">
        <v>44680</v>
      </c>
      <c r="F9" t="s">
        <v>799</v>
      </c>
      <c r="G9" t="s">
        <v>796</v>
      </c>
      <c r="H9" s="5">
        <v>1094</v>
      </c>
      <c r="I9" s="3">
        <v>36.93</v>
      </c>
      <c r="J9" s="3">
        <v>32.78</v>
      </c>
      <c r="K9" s="5">
        <f t="shared" si="1"/>
        <v>22</v>
      </c>
      <c r="L9">
        <v>22</v>
      </c>
      <c r="M9" t="s">
        <v>793</v>
      </c>
      <c r="N9">
        <f t="shared" si="0"/>
        <v>14</v>
      </c>
      <c r="O9" t="str">
        <f t="shared" si="2"/>
        <v>Valid</v>
      </c>
      <c r="P9" s="1" t="str">
        <f>IF(N9&gt;=(VLOOKUP(B9,Lembar2!$B$19:$C$24,2,FALSE)+7),"Delayed","Ontime")</f>
        <v>Ontime</v>
      </c>
      <c r="Q9" s="3">
        <f t="shared" si="3"/>
        <v>40401.42</v>
      </c>
      <c r="R9" s="3">
        <f t="shared" si="4"/>
        <v>35861.32</v>
      </c>
      <c r="S9" s="3">
        <f t="shared" si="5"/>
        <v>4540.0999999999985</v>
      </c>
      <c r="T9">
        <f t="shared" si="6"/>
        <v>1</v>
      </c>
    </row>
    <row r="10" spans="1:20" x14ac:dyDescent="0.25">
      <c r="A10" t="s">
        <v>810</v>
      </c>
      <c r="B10" t="s">
        <v>798</v>
      </c>
      <c r="C10" s="1">
        <v>45254</v>
      </c>
      <c r="D10" s="1">
        <f>IF(E10="",C10+VLOOKUP(B10,Lembar2!$B$19:$C$24,2,FALSE),'Procurement Dataset'!E10)</f>
        <v>45258</v>
      </c>
      <c r="E10" s="1">
        <v>45258</v>
      </c>
      <c r="F10" t="s">
        <v>804</v>
      </c>
      <c r="G10" t="s">
        <v>811</v>
      </c>
      <c r="H10" s="5">
        <v>1688</v>
      </c>
      <c r="I10" s="3">
        <v>43.93</v>
      </c>
      <c r="J10" s="3">
        <v>39.89</v>
      </c>
      <c r="K10" s="5">
        <f t="shared" si="1"/>
        <v>89</v>
      </c>
      <c r="L10">
        <v>89</v>
      </c>
      <c r="M10" t="s">
        <v>793</v>
      </c>
      <c r="N10">
        <f t="shared" si="0"/>
        <v>4</v>
      </c>
      <c r="O10" t="str">
        <f t="shared" si="2"/>
        <v>Valid</v>
      </c>
      <c r="P10" s="1" t="str">
        <f>IF(N10&gt;=(VLOOKUP(B10,Lembar2!$B$19:$C$24,2,FALSE)+7),"Delayed","Ontime")</f>
        <v>Ontime</v>
      </c>
      <c r="Q10" s="3">
        <f t="shared" si="3"/>
        <v>74153.84</v>
      </c>
      <c r="R10" s="3">
        <f t="shared" si="4"/>
        <v>67334.320000000007</v>
      </c>
      <c r="S10" s="3">
        <f t="shared" si="5"/>
        <v>6819.5199999999895</v>
      </c>
      <c r="T10">
        <f t="shared" si="6"/>
        <v>1</v>
      </c>
    </row>
    <row r="11" spans="1:20" x14ac:dyDescent="0.25">
      <c r="A11" t="s">
        <v>812</v>
      </c>
      <c r="B11" t="s">
        <v>798</v>
      </c>
      <c r="C11" s="1">
        <v>45120</v>
      </c>
      <c r="D11" s="1">
        <f>IF(E11="",C11+VLOOKUP(B11,Lembar2!$B$19:$C$24,2,FALSE),'Procurement Dataset'!E11)</f>
        <v>45132</v>
      </c>
      <c r="E11" s="1">
        <v>45132</v>
      </c>
      <c r="F11" t="s">
        <v>804</v>
      </c>
      <c r="G11" t="s">
        <v>813</v>
      </c>
      <c r="H11" s="5">
        <v>171</v>
      </c>
      <c r="I11" s="3">
        <v>76.87</v>
      </c>
      <c r="J11" s="3">
        <v>70.2</v>
      </c>
      <c r="K11" s="5">
        <f t="shared" si="1"/>
        <v>8</v>
      </c>
      <c r="L11">
        <v>8</v>
      </c>
      <c r="M11" t="s">
        <v>793</v>
      </c>
      <c r="N11">
        <f t="shared" si="0"/>
        <v>12</v>
      </c>
      <c r="O11" t="str">
        <f t="shared" si="2"/>
        <v>Valid</v>
      </c>
      <c r="P11" s="1" t="str">
        <f>IF(N11&gt;=(VLOOKUP(B11,Lembar2!$B$19:$C$24,2,FALSE)+7),"Delayed","Ontime")</f>
        <v>Ontime</v>
      </c>
      <c r="Q11" s="3">
        <f t="shared" si="3"/>
        <v>13144.77</v>
      </c>
      <c r="R11" s="3">
        <f t="shared" si="4"/>
        <v>12004.2</v>
      </c>
      <c r="S11" s="3">
        <f t="shared" si="5"/>
        <v>1140.5699999999997</v>
      </c>
      <c r="T11">
        <f t="shared" si="6"/>
        <v>1</v>
      </c>
    </row>
    <row r="12" spans="1:20" x14ac:dyDescent="0.25">
      <c r="A12" t="s">
        <v>814</v>
      </c>
      <c r="B12" t="s">
        <v>807</v>
      </c>
      <c r="C12" s="1">
        <v>44651</v>
      </c>
      <c r="D12" s="1">
        <f>IF(E12="",C12+VLOOKUP(B12,Lembar2!$B$19:$C$24,2,FALSE),'Procurement Dataset'!E12)</f>
        <v>44666</v>
      </c>
      <c r="E12" s="1">
        <v>44666</v>
      </c>
      <c r="F12" t="s">
        <v>804</v>
      </c>
      <c r="G12" t="s">
        <v>796</v>
      </c>
      <c r="H12" s="5">
        <v>5000</v>
      </c>
      <c r="I12" s="3">
        <v>78.489999999999995</v>
      </c>
      <c r="J12" s="3">
        <v>73.680000000000007</v>
      </c>
      <c r="K12" s="5">
        <f t="shared" si="1"/>
        <v>18</v>
      </c>
      <c r="L12">
        <v>18</v>
      </c>
      <c r="M12" t="s">
        <v>793</v>
      </c>
      <c r="N12">
        <f t="shared" si="0"/>
        <v>15</v>
      </c>
      <c r="O12" t="str">
        <f t="shared" si="2"/>
        <v>Valid</v>
      </c>
      <c r="P12" s="1" t="str">
        <f>IF(N12&gt;=(VLOOKUP(B12,Lembar2!$B$19:$C$24,2,FALSE)+7),"Delayed","Ontime")</f>
        <v>Ontime</v>
      </c>
      <c r="Q12" s="3">
        <f t="shared" si="3"/>
        <v>392450</v>
      </c>
      <c r="R12" s="3">
        <f t="shared" si="4"/>
        <v>368400.00000000006</v>
      </c>
      <c r="S12" s="3">
        <f t="shared" si="5"/>
        <v>24049.999999999942</v>
      </c>
      <c r="T12">
        <f t="shared" si="6"/>
        <v>1</v>
      </c>
    </row>
    <row r="13" spans="1:20" x14ac:dyDescent="0.25">
      <c r="A13" t="s">
        <v>815</v>
      </c>
      <c r="B13" t="s">
        <v>801</v>
      </c>
      <c r="C13" s="1">
        <v>45166</v>
      </c>
      <c r="D13" s="1">
        <f>IF(E13="",C13+VLOOKUP(B13,Lembar2!$B$19:$C$24,2,FALSE),'Procurement Dataset'!E13)</f>
        <v>45180</v>
      </c>
      <c r="E13" s="1">
        <v>45180</v>
      </c>
      <c r="F13" t="s">
        <v>804</v>
      </c>
      <c r="G13" t="s">
        <v>796</v>
      </c>
      <c r="H13" s="5">
        <v>5000</v>
      </c>
      <c r="I13" s="3">
        <v>88.96</v>
      </c>
      <c r="J13" s="3">
        <v>86.58</v>
      </c>
      <c r="K13" s="5">
        <f t="shared" si="1"/>
        <v>115</v>
      </c>
      <c r="L13">
        <v>115</v>
      </c>
      <c r="M13" t="s">
        <v>793</v>
      </c>
      <c r="N13">
        <f t="shared" si="0"/>
        <v>14</v>
      </c>
      <c r="O13" t="str">
        <f t="shared" si="2"/>
        <v>Valid</v>
      </c>
      <c r="P13" s="1" t="str">
        <f>IF(N13&gt;=(VLOOKUP(B13,Lembar2!$B$19:$C$24,2,FALSE)+7),"Delayed","Ontime")</f>
        <v>Ontime</v>
      </c>
      <c r="Q13" s="3">
        <f t="shared" si="3"/>
        <v>444799.99999999994</v>
      </c>
      <c r="R13" s="3">
        <f t="shared" si="4"/>
        <v>432900</v>
      </c>
      <c r="S13" s="3">
        <f t="shared" si="5"/>
        <v>11899.999999999942</v>
      </c>
      <c r="T13">
        <f t="shared" si="6"/>
        <v>1</v>
      </c>
    </row>
    <row r="14" spans="1:20" x14ac:dyDescent="0.25">
      <c r="A14" t="s">
        <v>816</v>
      </c>
      <c r="B14" t="s">
        <v>801</v>
      </c>
      <c r="C14" s="1">
        <v>44994</v>
      </c>
      <c r="D14" s="1">
        <f>IF(E14="",C14+VLOOKUP(B14,Lembar2!$B$19:$C$24,2,FALSE),'Procurement Dataset'!E14)</f>
        <v>45011</v>
      </c>
      <c r="E14" s="1">
        <v>45011</v>
      </c>
      <c r="F14" t="s">
        <v>817</v>
      </c>
      <c r="G14" t="s">
        <v>813</v>
      </c>
      <c r="H14" s="5">
        <v>5000</v>
      </c>
      <c r="I14" s="3">
        <v>86.74</v>
      </c>
      <c r="J14" s="3">
        <v>74.86</v>
      </c>
      <c r="K14" s="5">
        <f t="shared" si="1"/>
        <v>51</v>
      </c>
      <c r="L14">
        <v>51</v>
      </c>
      <c r="M14" t="s">
        <v>793</v>
      </c>
      <c r="N14">
        <f t="shared" si="0"/>
        <v>17</v>
      </c>
      <c r="O14" t="str">
        <f t="shared" si="2"/>
        <v>Valid</v>
      </c>
      <c r="P14" s="1" t="str">
        <f>IF(N14&gt;=(VLOOKUP(B14,Lembar2!$B$19:$C$24,2,FALSE)+7),"Delayed","Ontime")</f>
        <v>Ontime</v>
      </c>
      <c r="Q14" s="3">
        <f t="shared" si="3"/>
        <v>433700</v>
      </c>
      <c r="R14" s="3">
        <f t="shared" si="4"/>
        <v>374300</v>
      </c>
      <c r="S14" s="3">
        <f t="shared" si="5"/>
        <v>59400</v>
      </c>
      <c r="T14">
        <f t="shared" si="6"/>
        <v>1</v>
      </c>
    </row>
    <row r="15" spans="1:20" x14ac:dyDescent="0.25">
      <c r="A15" t="s">
        <v>818</v>
      </c>
      <c r="B15" t="s">
        <v>801</v>
      </c>
      <c r="C15" s="1">
        <v>44594</v>
      </c>
      <c r="D15" s="1">
        <f>IF(E15="",C15+VLOOKUP(B15,Lembar2!$B$19:$C$24,2,FALSE),'Procurement Dataset'!E15)</f>
        <v>44606</v>
      </c>
      <c r="F15" t="s">
        <v>799</v>
      </c>
      <c r="G15" t="s">
        <v>796</v>
      </c>
      <c r="H15" s="5">
        <v>5000</v>
      </c>
      <c r="I15" s="3">
        <v>18.3</v>
      </c>
      <c r="J15" s="3">
        <v>16.88</v>
      </c>
      <c r="K15" s="5">
        <f t="shared" si="1"/>
        <v>0</v>
      </c>
      <c r="M15" t="s">
        <v>793</v>
      </c>
      <c r="N15" t="str">
        <f t="shared" si="0"/>
        <v/>
      </c>
      <c r="O15" t="str">
        <f t="shared" si="2"/>
        <v>Valid</v>
      </c>
      <c r="P15" s="1" t="str">
        <f>IF(N15&gt;=(VLOOKUP(B15,Lembar2!$B$19:$C$24,2,FALSE)+7),"Delayed","Ontime")</f>
        <v>Delayed</v>
      </c>
      <c r="Q15" s="3">
        <f t="shared" si="3"/>
        <v>91500</v>
      </c>
      <c r="R15" s="3">
        <f t="shared" si="4"/>
        <v>84400</v>
      </c>
      <c r="S15" s="3">
        <f t="shared" si="5"/>
        <v>7100</v>
      </c>
      <c r="T15">
        <f t="shared" si="6"/>
        <v>0</v>
      </c>
    </row>
    <row r="16" spans="1:20" x14ac:dyDescent="0.25">
      <c r="A16" t="s">
        <v>819</v>
      </c>
      <c r="B16" t="s">
        <v>795</v>
      </c>
      <c r="C16" s="1">
        <v>44592</v>
      </c>
      <c r="D16" s="1">
        <f>IF(E16="",C16+VLOOKUP(B16,Lembar2!$B$19:$C$24,2,FALSE),'Procurement Dataset'!E16)</f>
        <v>44610</v>
      </c>
      <c r="E16" s="1">
        <v>44610</v>
      </c>
      <c r="F16" t="s">
        <v>817</v>
      </c>
      <c r="G16" t="s">
        <v>813</v>
      </c>
      <c r="H16" s="5">
        <v>5000</v>
      </c>
      <c r="I16" s="3">
        <v>54.5</v>
      </c>
      <c r="J16" s="3">
        <v>48.45</v>
      </c>
      <c r="K16" s="5">
        <f t="shared" si="1"/>
        <v>22</v>
      </c>
      <c r="L16">
        <v>22</v>
      </c>
      <c r="M16" t="s">
        <v>793</v>
      </c>
      <c r="N16">
        <f t="shared" si="0"/>
        <v>18</v>
      </c>
      <c r="O16" t="str">
        <f t="shared" si="2"/>
        <v>Valid</v>
      </c>
      <c r="P16" s="1" t="str">
        <f>IF(N16&gt;=(VLOOKUP(B16,Lembar2!$B$19:$C$24,2,FALSE)+7),"Delayed","Ontime")</f>
        <v>Delayed</v>
      </c>
      <c r="Q16" s="3">
        <f t="shared" si="3"/>
        <v>272500</v>
      </c>
      <c r="R16" s="3">
        <f t="shared" si="4"/>
        <v>242250</v>
      </c>
      <c r="S16" s="3">
        <f t="shared" si="5"/>
        <v>30250</v>
      </c>
      <c r="T16">
        <f t="shared" si="6"/>
        <v>0</v>
      </c>
    </row>
    <row r="17" spans="1:20" x14ac:dyDescent="0.25">
      <c r="A17" t="s">
        <v>820</v>
      </c>
      <c r="B17" t="s">
        <v>801</v>
      </c>
      <c r="C17" s="1">
        <v>44657</v>
      </c>
      <c r="D17" s="1">
        <f>IF(E17="",C17+VLOOKUP(B17,Lembar2!$B$19:$C$24,2,FALSE),'Procurement Dataset'!E17)</f>
        <v>44672</v>
      </c>
      <c r="E17" s="1">
        <v>44672</v>
      </c>
      <c r="F17" t="s">
        <v>802</v>
      </c>
      <c r="G17" t="s">
        <v>796</v>
      </c>
      <c r="H17" s="5">
        <v>5000</v>
      </c>
      <c r="I17" s="3">
        <v>15.41</v>
      </c>
      <c r="J17" s="3">
        <v>15.12</v>
      </c>
      <c r="K17" s="5">
        <f t="shared" si="1"/>
        <v>0</v>
      </c>
      <c r="M17" t="s">
        <v>793</v>
      </c>
      <c r="N17">
        <f t="shared" si="0"/>
        <v>15</v>
      </c>
      <c r="O17" t="str">
        <f t="shared" si="2"/>
        <v>Valid</v>
      </c>
      <c r="P17" s="1" t="str">
        <f>IF(N17&gt;=(VLOOKUP(B17,Lembar2!$B$19:$C$24,2,FALSE)+7),"Delayed","Ontime")</f>
        <v>Ontime</v>
      </c>
      <c r="Q17" s="3">
        <f t="shared" si="3"/>
        <v>77050</v>
      </c>
      <c r="R17" s="3">
        <f t="shared" si="4"/>
        <v>75600</v>
      </c>
      <c r="S17" s="3">
        <f t="shared" si="5"/>
        <v>1450</v>
      </c>
      <c r="T17">
        <f t="shared" si="6"/>
        <v>1</v>
      </c>
    </row>
    <row r="18" spans="1:20" x14ac:dyDescent="0.25">
      <c r="A18" t="s">
        <v>821</v>
      </c>
      <c r="B18" t="s">
        <v>795</v>
      </c>
      <c r="C18" s="1">
        <v>44785</v>
      </c>
      <c r="D18" s="1">
        <f>IF(E18="",C18+VLOOKUP(B18,Lembar2!$B$19:$C$24,2,FALSE),'Procurement Dataset'!E18)</f>
        <v>44804</v>
      </c>
      <c r="E18" s="1">
        <v>44804</v>
      </c>
      <c r="F18" t="s">
        <v>799</v>
      </c>
      <c r="G18" t="s">
        <v>796</v>
      </c>
      <c r="H18" s="5">
        <v>1173</v>
      </c>
      <c r="I18" s="3">
        <v>61.54</v>
      </c>
      <c r="J18" s="3">
        <v>55.49</v>
      </c>
      <c r="K18" s="5">
        <f t="shared" si="1"/>
        <v>172</v>
      </c>
      <c r="L18">
        <v>172</v>
      </c>
      <c r="M18" t="s">
        <v>805</v>
      </c>
      <c r="N18">
        <f t="shared" si="0"/>
        <v>19</v>
      </c>
      <c r="O18" t="str">
        <f t="shared" si="2"/>
        <v>Valid</v>
      </c>
      <c r="P18" s="1" t="str">
        <f>IF(N18&gt;=(VLOOKUP(B18,Lembar2!$B$19:$C$24,2,FALSE)+7),"Delayed","Ontime")</f>
        <v>Delayed</v>
      </c>
      <c r="Q18" s="3">
        <f t="shared" si="3"/>
        <v>72186.42</v>
      </c>
      <c r="R18" s="3">
        <f t="shared" si="4"/>
        <v>65089.770000000004</v>
      </c>
      <c r="S18" s="3">
        <f t="shared" si="5"/>
        <v>7096.6499999999942</v>
      </c>
      <c r="T18">
        <f t="shared" si="6"/>
        <v>0</v>
      </c>
    </row>
    <row r="19" spans="1:20" x14ac:dyDescent="0.25">
      <c r="A19" t="s">
        <v>822</v>
      </c>
      <c r="B19" t="s">
        <v>807</v>
      </c>
      <c r="C19" s="1">
        <v>44800</v>
      </c>
      <c r="D19" s="1">
        <f>IF(E19="",C19+VLOOKUP(B19,Lembar2!$B$19:$C$24,2,FALSE),'Procurement Dataset'!E19)</f>
        <v>44808</v>
      </c>
      <c r="E19" s="1">
        <v>44808</v>
      </c>
      <c r="F19" t="s">
        <v>804</v>
      </c>
      <c r="G19" t="s">
        <v>796</v>
      </c>
      <c r="H19" s="5">
        <v>921</v>
      </c>
      <c r="I19" s="3">
        <v>51.48</v>
      </c>
      <c r="J19" s="3">
        <v>50.61</v>
      </c>
      <c r="K19" s="5">
        <f t="shared" si="1"/>
        <v>0</v>
      </c>
      <c r="M19" t="s">
        <v>793</v>
      </c>
      <c r="N19">
        <f t="shared" si="0"/>
        <v>8</v>
      </c>
      <c r="O19" t="str">
        <f t="shared" si="2"/>
        <v>Valid</v>
      </c>
      <c r="P19" s="1" t="str">
        <f>IF(N19&gt;=(VLOOKUP(B19,Lembar2!$B$19:$C$24,2,FALSE)+7),"Delayed","Ontime")</f>
        <v>Ontime</v>
      </c>
      <c r="Q19" s="3">
        <f t="shared" si="3"/>
        <v>47413.079999999994</v>
      </c>
      <c r="R19" s="3">
        <f t="shared" si="4"/>
        <v>46611.81</v>
      </c>
      <c r="S19" s="3">
        <f t="shared" si="5"/>
        <v>801.2699999999968</v>
      </c>
      <c r="T19">
        <f t="shared" si="6"/>
        <v>1</v>
      </c>
    </row>
    <row r="20" spans="1:20" x14ac:dyDescent="0.25">
      <c r="A20" t="s">
        <v>823</v>
      </c>
      <c r="B20" t="s">
        <v>798</v>
      </c>
      <c r="C20" s="1">
        <v>45079</v>
      </c>
      <c r="D20" s="1">
        <f>IF(E20="",C20+VLOOKUP(B20,Lembar2!$B$19:$C$24,2,FALSE),'Procurement Dataset'!E20)</f>
        <v>45082</v>
      </c>
      <c r="E20" s="1">
        <v>45082</v>
      </c>
      <c r="F20" t="s">
        <v>804</v>
      </c>
      <c r="G20" t="s">
        <v>811</v>
      </c>
      <c r="H20" s="5">
        <v>1737</v>
      </c>
      <c r="I20" s="3">
        <v>97.53</v>
      </c>
      <c r="J20" s="3">
        <v>87.37</v>
      </c>
      <c r="K20" s="5">
        <f t="shared" si="1"/>
        <v>79</v>
      </c>
      <c r="L20">
        <v>79</v>
      </c>
      <c r="M20" t="s">
        <v>793</v>
      </c>
      <c r="N20">
        <f t="shared" si="0"/>
        <v>3</v>
      </c>
      <c r="O20" t="str">
        <f t="shared" si="2"/>
        <v>Valid</v>
      </c>
      <c r="P20" s="1" t="str">
        <f>IF(N20&gt;=(VLOOKUP(B20,Lembar2!$B$19:$C$24,2,FALSE)+7),"Delayed","Ontime")</f>
        <v>Ontime</v>
      </c>
      <c r="Q20" s="3">
        <f t="shared" si="3"/>
        <v>169409.61000000002</v>
      </c>
      <c r="R20" s="3">
        <f t="shared" si="4"/>
        <v>151761.69</v>
      </c>
      <c r="S20" s="3">
        <f t="shared" si="5"/>
        <v>17647.920000000013</v>
      </c>
      <c r="T20">
        <f t="shared" si="6"/>
        <v>1</v>
      </c>
    </row>
    <row r="21" spans="1:20" x14ac:dyDescent="0.25">
      <c r="A21" t="s">
        <v>824</v>
      </c>
      <c r="B21" t="s">
        <v>795</v>
      </c>
      <c r="C21" s="1">
        <v>45178</v>
      </c>
      <c r="D21" s="1">
        <f>IF(E21="",C21+VLOOKUP(B21,Lembar2!$B$19:$C$24,2,FALSE),'Procurement Dataset'!E21)</f>
        <v>45193</v>
      </c>
      <c r="E21" s="1">
        <v>45193</v>
      </c>
      <c r="F21" t="s">
        <v>804</v>
      </c>
      <c r="G21" t="s">
        <v>796</v>
      </c>
      <c r="H21" s="5">
        <v>180</v>
      </c>
      <c r="I21" s="3">
        <v>45.74</v>
      </c>
      <c r="J21" s="3">
        <v>38.89</v>
      </c>
      <c r="K21" s="5">
        <f t="shared" si="1"/>
        <v>0</v>
      </c>
      <c r="M21" t="s">
        <v>805</v>
      </c>
      <c r="N21">
        <f t="shared" si="0"/>
        <v>15</v>
      </c>
      <c r="O21" t="str">
        <f t="shared" si="2"/>
        <v>Valid</v>
      </c>
      <c r="P21" s="1" t="str">
        <f>IF(N21&gt;=(VLOOKUP(B21,Lembar2!$B$19:$C$24,2,FALSE)+7),"Delayed","Ontime")</f>
        <v>Ontime</v>
      </c>
      <c r="Q21" s="3">
        <f t="shared" si="3"/>
        <v>8233.2000000000007</v>
      </c>
      <c r="R21" s="3">
        <f t="shared" si="4"/>
        <v>7000.2</v>
      </c>
      <c r="S21" s="3">
        <f t="shared" si="5"/>
        <v>1233.0000000000009</v>
      </c>
      <c r="T21">
        <f t="shared" si="6"/>
        <v>1</v>
      </c>
    </row>
    <row r="22" spans="1:20" x14ac:dyDescent="0.25">
      <c r="A22" t="s">
        <v>825</v>
      </c>
      <c r="B22" t="s">
        <v>807</v>
      </c>
      <c r="C22" s="1">
        <v>44589</v>
      </c>
      <c r="D22" s="1">
        <f>IF(E22="",C22+VLOOKUP(B22,Lembar2!$B$19:$C$24,2,FALSE),'Procurement Dataset'!E22)</f>
        <v>44604</v>
      </c>
      <c r="E22" s="1">
        <v>44604</v>
      </c>
      <c r="F22" t="s">
        <v>817</v>
      </c>
      <c r="G22" t="s">
        <v>792</v>
      </c>
      <c r="H22" s="5">
        <v>1735</v>
      </c>
      <c r="I22" s="3">
        <v>20.54</v>
      </c>
      <c r="J22" s="3">
        <v>19.690000000000001</v>
      </c>
      <c r="K22" s="5">
        <f t="shared" si="1"/>
        <v>49</v>
      </c>
      <c r="L22">
        <v>49</v>
      </c>
      <c r="M22" t="s">
        <v>793</v>
      </c>
      <c r="N22">
        <f t="shared" si="0"/>
        <v>15</v>
      </c>
      <c r="O22" t="str">
        <f t="shared" si="2"/>
        <v>Valid</v>
      </c>
      <c r="P22" s="1" t="str">
        <f>IF(N22&gt;=(VLOOKUP(B22,Lembar2!$B$19:$C$24,2,FALSE)+7),"Delayed","Ontime")</f>
        <v>Ontime</v>
      </c>
      <c r="Q22" s="3">
        <f t="shared" si="3"/>
        <v>35636.9</v>
      </c>
      <c r="R22" s="3">
        <f t="shared" si="4"/>
        <v>34162.15</v>
      </c>
      <c r="S22" s="3">
        <f t="shared" si="5"/>
        <v>1474.75</v>
      </c>
      <c r="T22">
        <f t="shared" si="6"/>
        <v>1</v>
      </c>
    </row>
    <row r="23" spans="1:20" x14ac:dyDescent="0.25">
      <c r="A23" t="s">
        <v>826</v>
      </c>
      <c r="B23" t="s">
        <v>795</v>
      </c>
      <c r="C23" s="1">
        <v>45136</v>
      </c>
      <c r="D23" s="1">
        <f>IF(E23="",C23+VLOOKUP(B23,Lembar2!$B$19:$C$24,2,FALSE),'Procurement Dataset'!E23)</f>
        <v>45149</v>
      </c>
      <c r="E23" s="1">
        <v>45149</v>
      </c>
      <c r="F23" t="s">
        <v>804</v>
      </c>
      <c r="G23" t="s">
        <v>796</v>
      </c>
      <c r="H23" s="5">
        <v>1382</v>
      </c>
      <c r="I23" s="3">
        <v>24.93</v>
      </c>
      <c r="J23" s="3">
        <v>23.75</v>
      </c>
      <c r="K23" s="5">
        <f t="shared" si="1"/>
        <v>0</v>
      </c>
      <c r="M23" t="s">
        <v>793</v>
      </c>
      <c r="N23">
        <f t="shared" si="0"/>
        <v>13</v>
      </c>
      <c r="O23" t="str">
        <f t="shared" si="2"/>
        <v>Valid</v>
      </c>
      <c r="P23" s="1" t="str">
        <f>IF(N23&gt;=(VLOOKUP(B23,Lembar2!$B$19:$C$24,2,FALSE)+7),"Delayed","Ontime")</f>
        <v>Ontime</v>
      </c>
      <c r="Q23" s="3">
        <f t="shared" si="3"/>
        <v>34453.26</v>
      </c>
      <c r="R23" s="3">
        <f t="shared" si="4"/>
        <v>32822.5</v>
      </c>
      <c r="S23" s="3">
        <f t="shared" si="5"/>
        <v>1630.760000000002</v>
      </c>
      <c r="T23">
        <f t="shared" si="6"/>
        <v>1</v>
      </c>
    </row>
    <row r="24" spans="1:20" x14ac:dyDescent="0.25">
      <c r="A24" t="s">
        <v>827</v>
      </c>
      <c r="B24" t="s">
        <v>807</v>
      </c>
      <c r="C24" s="1">
        <v>44765</v>
      </c>
      <c r="D24" s="1">
        <f>IF(E24="",C24+VLOOKUP(B24,Lembar2!$B$19:$C$24,2,FALSE),'Procurement Dataset'!E24)</f>
        <v>44781</v>
      </c>
      <c r="E24" s="1">
        <v>44781</v>
      </c>
      <c r="F24" t="s">
        <v>799</v>
      </c>
      <c r="G24" t="s">
        <v>796</v>
      </c>
      <c r="H24" s="5">
        <v>819</v>
      </c>
      <c r="I24" s="3">
        <v>80.89</v>
      </c>
      <c r="J24" s="3">
        <v>77.03</v>
      </c>
      <c r="K24" s="5">
        <f t="shared" si="1"/>
        <v>29</v>
      </c>
      <c r="L24">
        <v>29</v>
      </c>
      <c r="M24" t="s">
        <v>793</v>
      </c>
      <c r="N24">
        <f t="shared" si="0"/>
        <v>16</v>
      </c>
      <c r="O24" t="str">
        <f t="shared" si="2"/>
        <v>Valid</v>
      </c>
      <c r="P24" s="1" t="str">
        <f>IF(N24&gt;=(VLOOKUP(B24,Lembar2!$B$19:$C$24,2,FALSE)+7),"Delayed","Ontime")</f>
        <v>Ontime</v>
      </c>
      <c r="Q24" s="3">
        <f t="shared" si="3"/>
        <v>66248.91</v>
      </c>
      <c r="R24" s="3">
        <f t="shared" si="4"/>
        <v>63087.57</v>
      </c>
      <c r="S24" s="3">
        <f t="shared" si="5"/>
        <v>3161.3400000000038</v>
      </c>
      <c r="T24">
        <f t="shared" si="6"/>
        <v>1</v>
      </c>
    </row>
    <row r="25" spans="1:20" x14ac:dyDescent="0.25">
      <c r="A25" t="s">
        <v>828</v>
      </c>
      <c r="B25" t="s">
        <v>801</v>
      </c>
      <c r="C25" s="1">
        <v>45227</v>
      </c>
      <c r="D25" s="1">
        <f>IF(E25="",C25+VLOOKUP(B25,Lembar2!$B$19:$C$24,2,FALSE),'Procurement Dataset'!E25)</f>
        <v>45233</v>
      </c>
      <c r="E25" s="1">
        <v>45233</v>
      </c>
      <c r="F25" t="s">
        <v>791</v>
      </c>
      <c r="G25" t="s">
        <v>811</v>
      </c>
      <c r="H25" s="5">
        <v>393</v>
      </c>
      <c r="I25" s="3">
        <v>72.53</v>
      </c>
      <c r="J25" s="3">
        <v>66.31</v>
      </c>
      <c r="K25" s="5">
        <f t="shared" si="1"/>
        <v>42</v>
      </c>
      <c r="L25">
        <v>42</v>
      </c>
      <c r="M25" t="s">
        <v>805</v>
      </c>
      <c r="N25">
        <f t="shared" si="0"/>
        <v>6</v>
      </c>
      <c r="O25" t="str">
        <f t="shared" si="2"/>
        <v>Valid</v>
      </c>
      <c r="P25" s="1" t="str">
        <f>IF(N25&gt;=(VLOOKUP(B25,Lembar2!$B$19:$C$24,2,FALSE)+7),"Delayed","Ontime")</f>
        <v>Ontime</v>
      </c>
      <c r="Q25" s="3">
        <f t="shared" si="3"/>
        <v>28504.29</v>
      </c>
      <c r="R25" s="3">
        <f t="shared" si="4"/>
        <v>26059.83</v>
      </c>
      <c r="S25" s="3">
        <f t="shared" si="5"/>
        <v>2444.4599999999991</v>
      </c>
      <c r="T25">
        <f t="shared" si="6"/>
        <v>1</v>
      </c>
    </row>
    <row r="26" spans="1:20" x14ac:dyDescent="0.25">
      <c r="A26" t="s">
        <v>829</v>
      </c>
      <c r="B26" t="s">
        <v>801</v>
      </c>
      <c r="C26" s="1">
        <v>45280</v>
      </c>
      <c r="D26" s="1">
        <f>IF(E26="",C26+VLOOKUP(B26,Lembar2!$B$19:$C$24,2,FALSE),'Procurement Dataset'!E26)</f>
        <v>45292</v>
      </c>
      <c r="E26" s="1">
        <v>45292</v>
      </c>
      <c r="F26" t="s">
        <v>799</v>
      </c>
      <c r="G26" t="s">
        <v>796</v>
      </c>
      <c r="H26" s="5">
        <v>1565</v>
      </c>
      <c r="I26" s="3">
        <v>21.3</v>
      </c>
      <c r="J26" s="3">
        <v>20.09</v>
      </c>
      <c r="K26" s="5">
        <f t="shared" si="1"/>
        <v>161</v>
      </c>
      <c r="L26">
        <v>161</v>
      </c>
      <c r="M26" t="s">
        <v>793</v>
      </c>
      <c r="N26">
        <f t="shared" si="0"/>
        <v>12</v>
      </c>
      <c r="O26" t="str">
        <f t="shared" si="2"/>
        <v>Valid</v>
      </c>
      <c r="P26" s="1" t="str">
        <f>IF(N26&gt;=(VLOOKUP(B26,Lembar2!$B$19:$C$24,2,FALSE)+7),"Delayed","Ontime")</f>
        <v>Ontime</v>
      </c>
      <c r="Q26" s="3">
        <f t="shared" si="3"/>
        <v>33334.5</v>
      </c>
      <c r="R26" s="3">
        <f t="shared" si="4"/>
        <v>31440.85</v>
      </c>
      <c r="S26" s="3">
        <f t="shared" si="5"/>
        <v>1893.6500000000015</v>
      </c>
      <c r="T26">
        <f t="shared" si="6"/>
        <v>1</v>
      </c>
    </row>
    <row r="27" spans="1:20" x14ac:dyDescent="0.25">
      <c r="A27" t="s">
        <v>830</v>
      </c>
      <c r="B27" t="s">
        <v>807</v>
      </c>
      <c r="C27" s="1">
        <v>45120</v>
      </c>
      <c r="D27" s="1">
        <f>IF(E27="",C27+VLOOKUP(B27,Lembar2!$B$19:$C$24,2,FALSE),'Procurement Dataset'!E27)</f>
        <v>45131</v>
      </c>
      <c r="E27" s="1">
        <v>45131</v>
      </c>
      <c r="F27" t="s">
        <v>802</v>
      </c>
      <c r="G27" t="s">
        <v>796</v>
      </c>
      <c r="H27" s="5">
        <v>1487</v>
      </c>
      <c r="I27" s="3">
        <v>19.149999999999999</v>
      </c>
      <c r="J27" s="3">
        <v>17.239999999999998</v>
      </c>
      <c r="K27" s="5">
        <f t="shared" si="1"/>
        <v>0</v>
      </c>
      <c r="M27" t="s">
        <v>793</v>
      </c>
      <c r="N27">
        <f t="shared" si="0"/>
        <v>11</v>
      </c>
      <c r="O27" t="str">
        <f t="shared" si="2"/>
        <v>Valid</v>
      </c>
      <c r="P27" s="1" t="str">
        <f>IF(N27&gt;=(VLOOKUP(B27,Lembar2!$B$19:$C$24,2,FALSE)+7),"Delayed","Ontime")</f>
        <v>Ontime</v>
      </c>
      <c r="Q27" s="3">
        <f t="shared" si="3"/>
        <v>28476.05</v>
      </c>
      <c r="R27" s="3">
        <f t="shared" si="4"/>
        <v>25635.879999999997</v>
      </c>
      <c r="S27" s="3">
        <f t="shared" si="5"/>
        <v>2840.1700000000019</v>
      </c>
      <c r="T27">
        <f t="shared" si="6"/>
        <v>1</v>
      </c>
    </row>
    <row r="28" spans="1:20" x14ac:dyDescent="0.25">
      <c r="A28" t="s">
        <v>831</v>
      </c>
      <c r="B28" t="s">
        <v>790</v>
      </c>
      <c r="C28" s="1">
        <v>44991</v>
      </c>
      <c r="D28" s="1">
        <f>IF(E28="",C28+VLOOKUP(B28,Lembar2!$B$19:$C$24,2,FALSE),'Procurement Dataset'!E28)</f>
        <v>45011</v>
      </c>
      <c r="E28" s="1">
        <v>45011</v>
      </c>
      <c r="F28" t="s">
        <v>799</v>
      </c>
      <c r="G28" t="s">
        <v>796</v>
      </c>
      <c r="H28" s="5">
        <v>855</v>
      </c>
      <c r="I28" s="3">
        <v>78.2</v>
      </c>
      <c r="J28" s="3">
        <v>67.16</v>
      </c>
      <c r="K28" s="5">
        <f t="shared" si="1"/>
        <v>17</v>
      </c>
      <c r="L28">
        <v>17</v>
      </c>
      <c r="M28" t="s">
        <v>793</v>
      </c>
      <c r="N28">
        <f t="shared" si="0"/>
        <v>20</v>
      </c>
      <c r="O28" t="str">
        <f t="shared" si="2"/>
        <v>Valid</v>
      </c>
      <c r="P28" s="1" t="str">
        <f>IF(N28&gt;=(VLOOKUP(B28,Lembar2!$B$19:$C$24,2,FALSE)+7),"Delayed","Ontime")</f>
        <v>Delayed</v>
      </c>
      <c r="Q28" s="3">
        <f t="shared" si="3"/>
        <v>66861</v>
      </c>
      <c r="R28" s="3">
        <f t="shared" si="4"/>
        <v>57421.799999999996</v>
      </c>
      <c r="S28" s="3">
        <f t="shared" si="5"/>
        <v>9439.2000000000044</v>
      </c>
      <c r="T28">
        <f t="shared" si="6"/>
        <v>0</v>
      </c>
    </row>
    <row r="29" spans="1:20" x14ac:dyDescent="0.25">
      <c r="A29" t="s">
        <v>832</v>
      </c>
      <c r="B29" t="s">
        <v>807</v>
      </c>
      <c r="C29" s="1">
        <v>44787</v>
      </c>
      <c r="D29" s="1">
        <f>IF(E29="",C29+VLOOKUP(B29,Lembar2!$B$19:$C$24,2,FALSE),'Procurement Dataset'!E29)</f>
        <v>44796</v>
      </c>
      <c r="E29" s="1">
        <v>44796</v>
      </c>
      <c r="F29" t="s">
        <v>804</v>
      </c>
      <c r="G29" t="s">
        <v>796</v>
      </c>
      <c r="H29" s="5">
        <v>435</v>
      </c>
      <c r="I29" s="3">
        <v>17.13</v>
      </c>
      <c r="J29" s="3">
        <v>15.84</v>
      </c>
      <c r="K29" s="5">
        <f t="shared" si="1"/>
        <v>8</v>
      </c>
      <c r="L29">
        <v>8</v>
      </c>
      <c r="M29" t="s">
        <v>793</v>
      </c>
      <c r="N29">
        <f t="shared" si="0"/>
        <v>9</v>
      </c>
      <c r="O29" t="str">
        <f t="shared" si="2"/>
        <v>Valid</v>
      </c>
      <c r="P29" s="1" t="str">
        <f>IF(N29&gt;=(VLOOKUP(B29,Lembar2!$B$19:$C$24,2,FALSE)+7),"Delayed","Ontime")</f>
        <v>Ontime</v>
      </c>
      <c r="Q29" s="3">
        <f t="shared" si="3"/>
        <v>7451.5499999999993</v>
      </c>
      <c r="R29" s="3">
        <f t="shared" si="4"/>
        <v>6890.4</v>
      </c>
      <c r="S29" s="3">
        <f t="shared" si="5"/>
        <v>561.14999999999964</v>
      </c>
      <c r="T29">
        <f t="shared" si="6"/>
        <v>1</v>
      </c>
    </row>
    <row r="30" spans="1:20" x14ac:dyDescent="0.25">
      <c r="A30" t="s">
        <v>833</v>
      </c>
      <c r="B30" t="s">
        <v>795</v>
      </c>
      <c r="C30" s="1">
        <v>45021</v>
      </c>
      <c r="D30" s="1">
        <f>IF(E30="",C30+VLOOKUP(B30,Lembar2!$B$19:$C$24,2,FALSE),'Procurement Dataset'!E30)</f>
        <v>45038</v>
      </c>
      <c r="E30" s="1">
        <v>45038</v>
      </c>
      <c r="F30" t="s">
        <v>799</v>
      </c>
      <c r="G30" t="s">
        <v>796</v>
      </c>
      <c r="H30" s="5">
        <v>1265</v>
      </c>
      <c r="I30" s="3">
        <v>90.26</v>
      </c>
      <c r="J30" s="3">
        <v>79.47</v>
      </c>
      <c r="K30" s="5">
        <f t="shared" si="1"/>
        <v>187</v>
      </c>
      <c r="L30">
        <v>187</v>
      </c>
      <c r="M30" t="s">
        <v>793</v>
      </c>
      <c r="N30">
        <f t="shared" si="0"/>
        <v>17</v>
      </c>
      <c r="O30" t="str">
        <f t="shared" si="2"/>
        <v>Valid</v>
      </c>
      <c r="P30" s="1" t="str">
        <f>IF(N30&gt;=(VLOOKUP(B30,Lembar2!$B$19:$C$24,2,FALSE)+7),"Delayed","Ontime")</f>
        <v>Ontime</v>
      </c>
      <c r="Q30" s="3">
        <f t="shared" si="3"/>
        <v>114178.90000000001</v>
      </c>
      <c r="R30" s="3">
        <f t="shared" si="4"/>
        <v>100529.55</v>
      </c>
      <c r="S30" s="3">
        <f t="shared" si="5"/>
        <v>13649.350000000006</v>
      </c>
      <c r="T30">
        <f t="shared" si="6"/>
        <v>1</v>
      </c>
    </row>
    <row r="31" spans="1:20" x14ac:dyDescent="0.25">
      <c r="A31" t="s">
        <v>834</v>
      </c>
      <c r="B31" t="s">
        <v>807</v>
      </c>
      <c r="C31" s="1">
        <v>45165</v>
      </c>
      <c r="D31" s="1">
        <f>IF(E31="",C31+VLOOKUP(B31,Lembar2!$B$19:$C$24,2,FALSE),'Procurement Dataset'!E31)</f>
        <v>45176</v>
      </c>
      <c r="F31" t="s">
        <v>799</v>
      </c>
      <c r="G31" t="s">
        <v>796</v>
      </c>
      <c r="H31" s="5">
        <v>1005</v>
      </c>
      <c r="I31" s="3">
        <v>80.55</v>
      </c>
      <c r="J31" s="3">
        <v>73.31</v>
      </c>
      <c r="K31" s="5">
        <f t="shared" si="1"/>
        <v>30</v>
      </c>
      <c r="L31">
        <v>30</v>
      </c>
      <c r="M31" t="s">
        <v>793</v>
      </c>
      <c r="N31" t="str">
        <f t="shared" si="0"/>
        <v/>
      </c>
      <c r="O31" t="str">
        <f t="shared" si="2"/>
        <v>Valid</v>
      </c>
      <c r="P31" s="1" t="str">
        <f>IF(N31&gt;=(VLOOKUP(B31,Lembar2!$B$19:$C$24,2,FALSE)+7),"Delayed","Ontime")</f>
        <v>Delayed</v>
      </c>
      <c r="Q31" s="3">
        <f t="shared" si="3"/>
        <v>80952.75</v>
      </c>
      <c r="R31" s="3">
        <f t="shared" si="4"/>
        <v>73676.55</v>
      </c>
      <c r="S31" s="3">
        <f t="shared" si="5"/>
        <v>7276.1999999999971</v>
      </c>
      <c r="T31">
        <f t="shared" si="6"/>
        <v>0</v>
      </c>
    </row>
    <row r="32" spans="1:20" x14ac:dyDescent="0.25">
      <c r="A32" t="s">
        <v>835</v>
      </c>
      <c r="B32" t="s">
        <v>798</v>
      </c>
      <c r="C32" s="1">
        <v>44846</v>
      </c>
      <c r="D32" s="1">
        <f>IF(E32="",C32+VLOOKUP(B32,Lembar2!$B$19:$C$24,2,FALSE),'Procurement Dataset'!E32)</f>
        <v>44860</v>
      </c>
      <c r="E32" s="1">
        <v>44860</v>
      </c>
      <c r="F32" t="s">
        <v>817</v>
      </c>
      <c r="G32" t="s">
        <v>796</v>
      </c>
      <c r="H32" s="5">
        <v>326</v>
      </c>
      <c r="I32" s="3">
        <v>18.100000000000001</v>
      </c>
      <c r="J32" s="3">
        <v>15.92</v>
      </c>
      <c r="K32" s="5">
        <f t="shared" si="1"/>
        <v>0</v>
      </c>
      <c r="M32" t="s">
        <v>805</v>
      </c>
      <c r="N32">
        <f t="shared" si="0"/>
        <v>14</v>
      </c>
      <c r="O32" t="str">
        <f t="shared" si="2"/>
        <v>Valid</v>
      </c>
      <c r="P32" s="1" t="str">
        <f>IF(N32&gt;=(VLOOKUP(B32,Lembar2!$B$19:$C$24,2,FALSE)+7),"Delayed","Ontime")</f>
        <v>Ontime</v>
      </c>
      <c r="Q32" s="3">
        <f t="shared" si="3"/>
        <v>5900.6</v>
      </c>
      <c r="R32" s="3">
        <f t="shared" si="4"/>
        <v>5189.92</v>
      </c>
      <c r="S32" s="3">
        <f t="shared" si="5"/>
        <v>710.68000000000029</v>
      </c>
      <c r="T32">
        <f t="shared" si="6"/>
        <v>1</v>
      </c>
    </row>
    <row r="33" spans="1:20" x14ac:dyDescent="0.25">
      <c r="A33" t="s">
        <v>836</v>
      </c>
      <c r="B33" t="s">
        <v>790</v>
      </c>
      <c r="C33" s="1">
        <v>44568</v>
      </c>
      <c r="D33" s="1">
        <f>IF(E33="",C33+VLOOKUP(B33,Lembar2!$B$19:$C$24,2,FALSE),'Procurement Dataset'!E33)</f>
        <v>44576</v>
      </c>
      <c r="E33" s="1">
        <v>44576</v>
      </c>
      <c r="F33" t="s">
        <v>791</v>
      </c>
      <c r="G33" t="s">
        <v>796</v>
      </c>
      <c r="H33" s="5">
        <v>1234</v>
      </c>
      <c r="I33" s="3">
        <v>17.64</v>
      </c>
      <c r="J33" s="3">
        <v>15.66</v>
      </c>
      <c r="K33" s="5">
        <f t="shared" si="1"/>
        <v>26</v>
      </c>
      <c r="L33">
        <v>26</v>
      </c>
      <c r="M33" t="s">
        <v>793</v>
      </c>
      <c r="N33">
        <f t="shared" si="0"/>
        <v>8</v>
      </c>
      <c r="O33" t="str">
        <f t="shared" si="2"/>
        <v>Valid</v>
      </c>
      <c r="P33" s="1" t="str">
        <f>IF(N33&gt;=(VLOOKUP(B33,Lembar2!$B$19:$C$24,2,FALSE)+7),"Delayed","Ontime")</f>
        <v>Ontime</v>
      </c>
      <c r="Q33" s="3">
        <f t="shared" si="3"/>
        <v>21767.760000000002</v>
      </c>
      <c r="R33" s="3">
        <f t="shared" si="4"/>
        <v>19324.439999999999</v>
      </c>
      <c r="S33" s="3">
        <f t="shared" si="5"/>
        <v>2443.3200000000033</v>
      </c>
      <c r="T33">
        <f t="shared" si="6"/>
        <v>1</v>
      </c>
    </row>
    <row r="34" spans="1:20" x14ac:dyDescent="0.25">
      <c r="A34" t="s">
        <v>837</v>
      </c>
      <c r="B34" t="s">
        <v>807</v>
      </c>
      <c r="C34" s="1">
        <v>44725</v>
      </c>
      <c r="D34" s="1">
        <f>IF(E34="",C34+VLOOKUP(B34,Lembar2!$B$19:$C$24,2,FALSE),'Procurement Dataset'!E34)</f>
        <v>44741</v>
      </c>
      <c r="E34" s="1">
        <v>44741</v>
      </c>
      <c r="F34" t="s">
        <v>799</v>
      </c>
      <c r="G34" t="s">
        <v>796</v>
      </c>
      <c r="H34" s="5">
        <v>509</v>
      </c>
      <c r="I34" s="3">
        <v>101.27</v>
      </c>
      <c r="J34" s="3">
        <v>97.82</v>
      </c>
      <c r="K34" s="5">
        <f t="shared" si="1"/>
        <v>19</v>
      </c>
      <c r="L34">
        <v>19</v>
      </c>
      <c r="M34" t="s">
        <v>793</v>
      </c>
      <c r="N34">
        <f t="shared" si="0"/>
        <v>16</v>
      </c>
      <c r="O34" t="str">
        <f t="shared" si="2"/>
        <v>Valid</v>
      </c>
      <c r="P34" s="1" t="str">
        <f>IF(N34&gt;=(VLOOKUP(B34,Lembar2!$B$19:$C$24,2,FALSE)+7),"Delayed","Ontime")</f>
        <v>Ontime</v>
      </c>
      <c r="Q34" s="3">
        <f t="shared" si="3"/>
        <v>51546.43</v>
      </c>
      <c r="R34" s="3">
        <f t="shared" si="4"/>
        <v>49790.38</v>
      </c>
      <c r="S34" s="3">
        <f t="shared" si="5"/>
        <v>1756.0500000000029</v>
      </c>
      <c r="T34">
        <f t="shared" si="6"/>
        <v>1</v>
      </c>
    </row>
    <row r="35" spans="1:20" x14ac:dyDescent="0.25">
      <c r="A35" t="s">
        <v>838</v>
      </c>
      <c r="B35" t="s">
        <v>790</v>
      </c>
      <c r="C35" s="1">
        <v>45276</v>
      </c>
      <c r="D35" s="1">
        <f>IF(E35="",C35+VLOOKUP(B35,Lembar2!$B$19:$C$24,2,FALSE),'Procurement Dataset'!E35)</f>
        <v>45277</v>
      </c>
      <c r="E35" s="1">
        <v>45277</v>
      </c>
      <c r="F35" t="s">
        <v>802</v>
      </c>
      <c r="G35" t="s">
        <v>796</v>
      </c>
      <c r="H35" s="5">
        <v>1387</v>
      </c>
      <c r="I35" s="3">
        <v>48.71</v>
      </c>
      <c r="J35" s="3">
        <v>43.71</v>
      </c>
      <c r="K35" s="5">
        <f t="shared" si="1"/>
        <v>27</v>
      </c>
      <c r="L35">
        <v>27</v>
      </c>
      <c r="M35" t="s">
        <v>793</v>
      </c>
      <c r="N35">
        <f t="shared" si="0"/>
        <v>1</v>
      </c>
      <c r="O35" t="str">
        <f t="shared" si="2"/>
        <v>Valid</v>
      </c>
      <c r="P35" s="1" t="str">
        <f>IF(N35&gt;=(VLOOKUP(B35,Lembar2!$B$19:$C$24,2,FALSE)+7),"Delayed","Ontime")</f>
        <v>Ontime</v>
      </c>
      <c r="Q35" s="3">
        <f t="shared" si="3"/>
        <v>67560.77</v>
      </c>
      <c r="R35" s="3">
        <f t="shared" si="4"/>
        <v>60625.770000000004</v>
      </c>
      <c r="S35" s="3">
        <f t="shared" si="5"/>
        <v>6935</v>
      </c>
      <c r="T35">
        <f t="shared" si="6"/>
        <v>1</v>
      </c>
    </row>
    <row r="36" spans="1:20" x14ac:dyDescent="0.25">
      <c r="A36" t="s">
        <v>839</v>
      </c>
      <c r="B36" t="s">
        <v>790</v>
      </c>
      <c r="C36" s="1">
        <v>44994</v>
      </c>
      <c r="D36" s="1">
        <f>IF(E36="",C36+VLOOKUP(B36,Lembar2!$B$19:$C$24,2,FALSE),'Procurement Dataset'!E36)</f>
        <v>45002</v>
      </c>
      <c r="E36" s="1">
        <v>45002</v>
      </c>
      <c r="F36" t="s">
        <v>799</v>
      </c>
      <c r="G36" t="s">
        <v>796</v>
      </c>
      <c r="H36" s="5">
        <v>71</v>
      </c>
      <c r="I36" s="3">
        <v>46.39</v>
      </c>
      <c r="J36" s="3">
        <v>43.18</v>
      </c>
      <c r="K36" s="5">
        <f t="shared" si="1"/>
        <v>0</v>
      </c>
      <c r="L36">
        <v>0</v>
      </c>
      <c r="M36" t="s">
        <v>793</v>
      </c>
      <c r="N36">
        <f t="shared" si="0"/>
        <v>8</v>
      </c>
      <c r="O36" t="str">
        <f t="shared" si="2"/>
        <v>Valid</v>
      </c>
      <c r="P36" s="1" t="str">
        <f>IF(N36&gt;=(VLOOKUP(B36,Lembar2!$B$19:$C$24,2,FALSE)+7),"Delayed","Ontime")</f>
        <v>Ontime</v>
      </c>
      <c r="Q36" s="3">
        <f t="shared" si="3"/>
        <v>3293.69</v>
      </c>
      <c r="R36" s="3">
        <f t="shared" si="4"/>
        <v>3065.78</v>
      </c>
      <c r="S36" s="3">
        <f t="shared" si="5"/>
        <v>227.90999999999985</v>
      </c>
      <c r="T36">
        <f t="shared" si="6"/>
        <v>1</v>
      </c>
    </row>
    <row r="37" spans="1:20" x14ac:dyDescent="0.25">
      <c r="A37" t="s">
        <v>840</v>
      </c>
      <c r="B37" t="s">
        <v>807</v>
      </c>
      <c r="C37" s="1">
        <v>44910</v>
      </c>
      <c r="D37" s="1">
        <f>IF(E37="",C37+VLOOKUP(B37,Lembar2!$B$19:$C$24,2,FALSE),'Procurement Dataset'!E37)</f>
        <v>44918</v>
      </c>
      <c r="E37" s="1">
        <v>44918</v>
      </c>
      <c r="F37" t="s">
        <v>791</v>
      </c>
      <c r="G37" t="s">
        <v>796</v>
      </c>
      <c r="H37" s="5">
        <v>302</v>
      </c>
      <c r="I37" s="3">
        <v>87.73</v>
      </c>
      <c r="J37" s="3">
        <v>81.52</v>
      </c>
      <c r="K37" s="5">
        <f t="shared" si="1"/>
        <v>9</v>
      </c>
      <c r="L37">
        <v>9</v>
      </c>
      <c r="M37" t="s">
        <v>793</v>
      </c>
      <c r="N37">
        <f t="shared" si="0"/>
        <v>8</v>
      </c>
      <c r="O37" t="str">
        <f t="shared" si="2"/>
        <v>Valid</v>
      </c>
      <c r="P37" s="1" t="str">
        <f>IF(N37&gt;=(VLOOKUP(B37,Lembar2!$B$19:$C$24,2,FALSE)+7),"Delayed","Ontime")</f>
        <v>Ontime</v>
      </c>
      <c r="Q37" s="3">
        <f t="shared" si="3"/>
        <v>26494.460000000003</v>
      </c>
      <c r="R37" s="3">
        <f t="shared" si="4"/>
        <v>24619.039999999997</v>
      </c>
      <c r="S37" s="3">
        <f t="shared" si="5"/>
        <v>1875.4200000000055</v>
      </c>
      <c r="T37">
        <f t="shared" si="6"/>
        <v>1</v>
      </c>
    </row>
    <row r="38" spans="1:20" x14ac:dyDescent="0.25">
      <c r="A38" t="s">
        <v>841</v>
      </c>
      <c r="B38" t="s">
        <v>807</v>
      </c>
      <c r="C38" s="1">
        <v>44846</v>
      </c>
      <c r="D38" s="1">
        <f>IF(E38="",C38+VLOOKUP(B38,Lembar2!$B$19:$C$24,2,FALSE),'Procurement Dataset'!E38)</f>
        <v>44865</v>
      </c>
      <c r="E38" s="1">
        <v>44865</v>
      </c>
      <c r="F38" t="s">
        <v>791</v>
      </c>
      <c r="G38" t="s">
        <v>813</v>
      </c>
      <c r="H38" s="5">
        <v>797</v>
      </c>
      <c r="I38" s="3">
        <v>99.54</v>
      </c>
      <c r="J38" s="3">
        <v>91.37</v>
      </c>
      <c r="K38" s="5">
        <f t="shared" si="1"/>
        <v>18</v>
      </c>
      <c r="L38">
        <v>18</v>
      </c>
      <c r="M38" t="s">
        <v>793</v>
      </c>
      <c r="N38">
        <f t="shared" si="0"/>
        <v>19</v>
      </c>
      <c r="O38" t="str">
        <f t="shared" si="2"/>
        <v>Valid</v>
      </c>
      <c r="P38" s="1" t="str">
        <f>IF(N38&gt;=(VLOOKUP(B38,Lembar2!$B$19:$C$24,2,FALSE)+7),"Delayed","Ontime")</f>
        <v>Delayed</v>
      </c>
      <c r="Q38" s="3">
        <f t="shared" si="3"/>
        <v>79333.38</v>
      </c>
      <c r="R38" s="3">
        <f t="shared" si="4"/>
        <v>72821.89</v>
      </c>
      <c r="S38" s="3">
        <f t="shared" si="5"/>
        <v>6511.4900000000052</v>
      </c>
      <c r="T38">
        <f t="shared" si="6"/>
        <v>0</v>
      </c>
    </row>
    <row r="39" spans="1:20" x14ac:dyDescent="0.25">
      <c r="A39" t="s">
        <v>842</v>
      </c>
      <c r="B39" t="s">
        <v>801</v>
      </c>
      <c r="C39" s="1">
        <v>44721</v>
      </c>
      <c r="D39" s="1">
        <f>IF(E39="",C39+VLOOKUP(B39,Lembar2!$B$19:$C$24,2,FALSE),'Procurement Dataset'!E39)</f>
        <v>44739</v>
      </c>
      <c r="E39" s="1">
        <v>44739</v>
      </c>
      <c r="F39" t="s">
        <v>791</v>
      </c>
      <c r="G39" t="s">
        <v>813</v>
      </c>
      <c r="H39" s="5">
        <v>906</v>
      </c>
      <c r="I39" s="3">
        <v>101.21</v>
      </c>
      <c r="J39" s="3">
        <v>90.9</v>
      </c>
      <c r="K39" s="5">
        <f t="shared" si="1"/>
        <v>94</v>
      </c>
      <c r="L39">
        <v>94</v>
      </c>
      <c r="M39" t="s">
        <v>793</v>
      </c>
      <c r="N39">
        <f t="shared" si="0"/>
        <v>18</v>
      </c>
      <c r="O39" t="str">
        <f t="shared" si="2"/>
        <v>Valid</v>
      </c>
      <c r="P39" s="1" t="str">
        <f>IF(N39&gt;=(VLOOKUP(B39,Lembar2!$B$19:$C$24,2,FALSE)+7),"Delayed","Ontime")</f>
        <v>Ontime</v>
      </c>
      <c r="Q39" s="3">
        <f t="shared" si="3"/>
        <v>91696.26</v>
      </c>
      <c r="R39" s="3">
        <f t="shared" si="4"/>
        <v>82355.400000000009</v>
      </c>
      <c r="S39" s="3">
        <f t="shared" si="5"/>
        <v>9340.859999999986</v>
      </c>
      <c r="T39">
        <f t="shared" si="6"/>
        <v>1</v>
      </c>
    </row>
    <row r="40" spans="1:20" x14ac:dyDescent="0.25">
      <c r="A40" t="s">
        <v>843</v>
      </c>
      <c r="B40" t="s">
        <v>807</v>
      </c>
      <c r="C40" s="1">
        <v>44782</v>
      </c>
      <c r="D40" s="1">
        <f>IF(E40="",C40+VLOOKUP(B40,Lembar2!$B$19:$C$24,2,FALSE),'Procurement Dataset'!E40)</f>
        <v>44796</v>
      </c>
      <c r="E40" s="1">
        <v>44796</v>
      </c>
      <c r="F40" t="s">
        <v>791</v>
      </c>
      <c r="G40" t="s">
        <v>796</v>
      </c>
      <c r="H40" s="5">
        <v>1634</v>
      </c>
      <c r="I40" s="3">
        <v>80.53</v>
      </c>
      <c r="J40" s="3">
        <v>76.150000000000006</v>
      </c>
      <c r="K40" s="5">
        <f t="shared" si="1"/>
        <v>50</v>
      </c>
      <c r="L40">
        <v>50</v>
      </c>
      <c r="M40" t="s">
        <v>793</v>
      </c>
      <c r="N40">
        <f t="shared" si="0"/>
        <v>14</v>
      </c>
      <c r="O40" t="str">
        <f t="shared" si="2"/>
        <v>Valid</v>
      </c>
      <c r="P40" s="1" t="str">
        <f>IF(N40&gt;=(VLOOKUP(B40,Lembar2!$B$19:$C$24,2,FALSE)+7),"Delayed","Ontime")</f>
        <v>Ontime</v>
      </c>
      <c r="Q40" s="3">
        <f t="shared" si="3"/>
        <v>131586.01999999999</v>
      </c>
      <c r="R40" s="3">
        <f t="shared" si="4"/>
        <v>124429.1</v>
      </c>
      <c r="S40" s="3">
        <f t="shared" si="5"/>
        <v>7156.9199999999837</v>
      </c>
      <c r="T40">
        <f t="shared" si="6"/>
        <v>1</v>
      </c>
    </row>
    <row r="41" spans="1:20" x14ac:dyDescent="0.25">
      <c r="A41" t="s">
        <v>844</v>
      </c>
      <c r="B41" t="s">
        <v>807</v>
      </c>
      <c r="C41" s="1">
        <v>44906</v>
      </c>
      <c r="D41" s="1">
        <f>IF(E41="",C41+VLOOKUP(B41,Lembar2!$B$19:$C$24,2,FALSE),'Procurement Dataset'!E41)</f>
        <v>44917</v>
      </c>
      <c r="F41" t="s">
        <v>791</v>
      </c>
      <c r="G41" t="s">
        <v>796</v>
      </c>
      <c r="H41" s="5">
        <v>524</v>
      </c>
      <c r="I41" s="3">
        <v>46.28</v>
      </c>
      <c r="J41" s="3">
        <v>39.65</v>
      </c>
      <c r="K41" s="5">
        <f t="shared" si="1"/>
        <v>14</v>
      </c>
      <c r="L41">
        <v>14</v>
      </c>
      <c r="M41" t="s">
        <v>793</v>
      </c>
      <c r="N41" t="str">
        <f t="shared" si="0"/>
        <v/>
      </c>
      <c r="O41" t="str">
        <f t="shared" si="2"/>
        <v>Valid</v>
      </c>
      <c r="P41" s="1" t="str">
        <f>IF(N41&gt;=(VLOOKUP(B41,Lembar2!$B$19:$C$24,2,FALSE)+7),"Delayed","Ontime")</f>
        <v>Delayed</v>
      </c>
      <c r="Q41" s="3">
        <f t="shared" si="3"/>
        <v>24250.720000000001</v>
      </c>
      <c r="R41" s="3">
        <f t="shared" si="4"/>
        <v>20776.599999999999</v>
      </c>
      <c r="S41" s="3">
        <f t="shared" si="5"/>
        <v>3474.1200000000026</v>
      </c>
      <c r="T41">
        <f t="shared" si="6"/>
        <v>0</v>
      </c>
    </row>
    <row r="42" spans="1:20" x14ac:dyDescent="0.25">
      <c r="A42" t="s">
        <v>845</v>
      </c>
      <c r="B42" t="s">
        <v>801</v>
      </c>
      <c r="C42" s="1">
        <v>44666</v>
      </c>
      <c r="D42" s="1">
        <f>IF(E42="",C42+VLOOKUP(B42,Lembar2!$B$19:$C$24,2,FALSE),'Procurement Dataset'!E42)</f>
        <v>44678</v>
      </c>
      <c r="E42" s="1">
        <v>44678</v>
      </c>
      <c r="F42" t="s">
        <v>817</v>
      </c>
      <c r="G42" t="s">
        <v>796</v>
      </c>
      <c r="H42" s="5">
        <v>1132</v>
      </c>
      <c r="I42" s="3">
        <v>17.78</v>
      </c>
      <c r="J42" s="3">
        <v>15.36</v>
      </c>
      <c r="K42" s="5">
        <f t="shared" si="1"/>
        <v>96</v>
      </c>
      <c r="L42">
        <v>96</v>
      </c>
      <c r="M42" t="s">
        <v>793</v>
      </c>
      <c r="N42">
        <f t="shared" si="0"/>
        <v>12</v>
      </c>
      <c r="O42" t="str">
        <f t="shared" si="2"/>
        <v>Valid</v>
      </c>
      <c r="P42" s="1" t="str">
        <f>IF(N42&gt;=(VLOOKUP(B42,Lembar2!$B$19:$C$24,2,FALSE)+7),"Delayed","Ontime")</f>
        <v>Ontime</v>
      </c>
      <c r="Q42" s="3">
        <f t="shared" si="3"/>
        <v>20126.960000000003</v>
      </c>
      <c r="R42" s="3">
        <f t="shared" si="4"/>
        <v>17387.52</v>
      </c>
      <c r="S42" s="3">
        <f t="shared" si="5"/>
        <v>2739.4400000000023</v>
      </c>
      <c r="T42">
        <f t="shared" si="6"/>
        <v>1</v>
      </c>
    </row>
    <row r="43" spans="1:20" x14ac:dyDescent="0.25">
      <c r="A43" t="s">
        <v>846</v>
      </c>
      <c r="B43" t="s">
        <v>801</v>
      </c>
      <c r="C43" s="1">
        <v>44656</v>
      </c>
      <c r="D43" s="1">
        <f>IF(E43="",C43+VLOOKUP(B43,Lembar2!$B$19:$C$24,2,FALSE),'Procurement Dataset'!E43)</f>
        <v>44665</v>
      </c>
      <c r="E43" s="1">
        <v>44665</v>
      </c>
      <c r="F43" t="s">
        <v>791</v>
      </c>
      <c r="G43" t="s">
        <v>796</v>
      </c>
      <c r="H43" s="5">
        <v>560</v>
      </c>
      <c r="I43" s="3">
        <v>81.14</v>
      </c>
      <c r="J43" s="3">
        <v>77.87</v>
      </c>
      <c r="K43" s="5">
        <f t="shared" si="1"/>
        <v>34</v>
      </c>
      <c r="L43">
        <v>34</v>
      </c>
      <c r="M43" t="s">
        <v>805</v>
      </c>
      <c r="N43">
        <f t="shared" si="0"/>
        <v>9</v>
      </c>
      <c r="O43" t="str">
        <f t="shared" si="2"/>
        <v>Valid</v>
      </c>
      <c r="P43" s="1" t="str">
        <f>IF(N43&gt;=(VLOOKUP(B43,Lembar2!$B$19:$C$24,2,FALSE)+7),"Delayed","Ontime")</f>
        <v>Ontime</v>
      </c>
      <c r="Q43" s="3">
        <f t="shared" si="3"/>
        <v>45438.400000000001</v>
      </c>
      <c r="R43" s="3">
        <f t="shared" si="4"/>
        <v>43607.200000000004</v>
      </c>
      <c r="S43" s="3">
        <f t="shared" si="5"/>
        <v>1831.1999999999971</v>
      </c>
      <c r="T43">
        <f t="shared" si="6"/>
        <v>1</v>
      </c>
    </row>
    <row r="44" spans="1:20" x14ac:dyDescent="0.25">
      <c r="A44" t="s">
        <v>847</v>
      </c>
      <c r="B44" t="s">
        <v>798</v>
      </c>
      <c r="C44" s="1">
        <v>44951</v>
      </c>
      <c r="D44" s="1">
        <f>IF(E44="",C44+VLOOKUP(B44,Lembar2!$B$19:$C$24,2,FALSE),'Procurement Dataset'!E44)</f>
        <v>44959</v>
      </c>
      <c r="E44" s="1">
        <v>44959</v>
      </c>
      <c r="F44" t="s">
        <v>817</v>
      </c>
      <c r="G44" t="s">
        <v>796</v>
      </c>
      <c r="H44" s="5">
        <v>1755</v>
      </c>
      <c r="I44" s="3">
        <v>63.87</v>
      </c>
      <c r="J44" s="3">
        <v>58.4</v>
      </c>
      <c r="K44" s="5">
        <f t="shared" si="1"/>
        <v>85</v>
      </c>
      <c r="L44">
        <v>85</v>
      </c>
      <c r="M44" t="s">
        <v>793</v>
      </c>
      <c r="N44">
        <f t="shared" si="0"/>
        <v>8</v>
      </c>
      <c r="O44" t="str">
        <f t="shared" si="2"/>
        <v>Valid</v>
      </c>
      <c r="P44" s="1" t="str">
        <f>IF(N44&gt;=(VLOOKUP(B44,Lembar2!$B$19:$C$24,2,FALSE)+7),"Delayed","Ontime")</f>
        <v>Ontime</v>
      </c>
      <c r="Q44" s="3">
        <f t="shared" si="3"/>
        <v>112091.84999999999</v>
      </c>
      <c r="R44" s="3">
        <f t="shared" si="4"/>
        <v>102492</v>
      </c>
      <c r="S44" s="3">
        <f t="shared" si="5"/>
        <v>9599.8499999999913</v>
      </c>
      <c r="T44">
        <f t="shared" si="6"/>
        <v>1</v>
      </c>
    </row>
    <row r="45" spans="1:20" x14ac:dyDescent="0.25">
      <c r="A45" t="s">
        <v>848</v>
      </c>
      <c r="B45" t="s">
        <v>807</v>
      </c>
      <c r="C45" s="1">
        <v>44661</v>
      </c>
      <c r="D45" s="1">
        <f>IF(E45="",C45+VLOOKUP(B45,Lembar2!$B$19:$C$24,2,FALSE),'Procurement Dataset'!E45)</f>
        <v>44668</v>
      </c>
      <c r="E45" s="1">
        <v>44668</v>
      </c>
      <c r="F45" t="s">
        <v>799</v>
      </c>
      <c r="G45" t="s">
        <v>796</v>
      </c>
      <c r="H45" s="5">
        <v>1549</v>
      </c>
      <c r="I45" s="3">
        <v>48.9</v>
      </c>
      <c r="J45" s="3">
        <v>42.42</v>
      </c>
      <c r="K45" s="5">
        <f t="shared" si="1"/>
        <v>48</v>
      </c>
      <c r="L45">
        <v>48</v>
      </c>
      <c r="M45" t="s">
        <v>793</v>
      </c>
      <c r="N45">
        <f t="shared" si="0"/>
        <v>7</v>
      </c>
      <c r="O45" t="str">
        <f t="shared" si="2"/>
        <v>Valid</v>
      </c>
      <c r="P45" s="1" t="str">
        <f>IF(N45&gt;=(VLOOKUP(B45,Lembar2!$B$19:$C$24,2,FALSE)+7),"Delayed","Ontime")</f>
        <v>Ontime</v>
      </c>
      <c r="Q45" s="3">
        <f t="shared" si="3"/>
        <v>75746.099999999991</v>
      </c>
      <c r="R45" s="3">
        <f t="shared" si="4"/>
        <v>65708.58</v>
      </c>
      <c r="S45" s="3">
        <f t="shared" si="5"/>
        <v>10037.51999999999</v>
      </c>
      <c r="T45">
        <f t="shared" si="6"/>
        <v>1</v>
      </c>
    </row>
    <row r="46" spans="1:20" x14ac:dyDescent="0.25">
      <c r="A46" t="s">
        <v>849</v>
      </c>
      <c r="B46" t="s">
        <v>795</v>
      </c>
      <c r="C46" s="1">
        <v>44929</v>
      </c>
      <c r="D46" s="1">
        <f>IF(E46="",C46+VLOOKUP(B46,Lembar2!$B$19:$C$24,2,FALSE),'Procurement Dataset'!E46)</f>
        <v>44947</v>
      </c>
      <c r="E46" s="1">
        <v>44947</v>
      </c>
      <c r="F46" t="s">
        <v>799</v>
      </c>
      <c r="G46" t="s">
        <v>796</v>
      </c>
      <c r="H46" s="5">
        <v>749</v>
      </c>
      <c r="I46" s="3">
        <v>97.07</v>
      </c>
      <c r="J46" s="3">
        <v>94.16</v>
      </c>
      <c r="K46" s="5">
        <f t="shared" si="1"/>
        <v>123</v>
      </c>
      <c r="L46">
        <v>123</v>
      </c>
      <c r="M46" t="s">
        <v>793</v>
      </c>
      <c r="N46">
        <f t="shared" si="0"/>
        <v>18</v>
      </c>
      <c r="O46" t="str">
        <f t="shared" si="2"/>
        <v>Valid</v>
      </c>
      <c r="P46" s="1" t="str">
        <f>IF(N46&gt;=(VLOOKUP(B46,Lembar2!$B$19:$C$24,2,FALSE)+7),"Delayed","Ontime")</f>
        <v>Delayed</v>
      </c>
      <c r="Q46" s="3">
        <f t="shared" si="3"/>
        <v>72705.429999999993</v>
      </c>
      <c r="R46" s="3">
        <f t="shared" si="4"/>
        <v>70525.84</v>
      </c>
      <c r="S46" s="3">
        <f t="shared" si="5"/>
        <v>2179.5899999999965</v>
      </c>
      <c r="T46">
        <f t="shared" si="6"/>
        <v>0</v>
      </c>
    </row>
    <row r="47" spans="1:20" x14ac:dyDescent="0.25">
      <c r="A47" t="s">
        <v>850</v>
      </c>
      <c r="B47" t="s">
        <v>790</v>
      </c>
      <c r="C47" s="1">
        <v>44914</v>
      </c>
      <c r="D47" s="1">
        <f>IF(E47="",C47+VLOOKUP(B47,Lembar2!$B$19:$C$24,2,FALSE),'Procurement Dataset'!E47)</f>
        <v>44925</v>
      </c>
      <c r="F47" t="s">
        <v>817</v>
      </c>
      <c r="G47" t="s">
        <v>796</v>
      </c>
      <c r="H47" s="5">
        <v>1025</v>
      </c>
      <c r="I47" s="3">
        <v>21.11</v>
      </c>
      <c r="J47" s="3">
        <v>19.25</v>
      </c>
      <c r="K47" s="5">
        <f t="shared" si="1"/>
        <v>15</v>
      </c>
      <c r="L47">
        <v>15</v>
      </c>
      <c r="M47" t="s">
        <v>793</v>
      </c>
      <c r="N47" t="str">
        <f t="shared" si="0"/>
        <v/>
      </c>
      <c r="O47" t="str">
        <f t="shared" si="2"/>
        <v>Valid</v>
      </c>
      <c r="P47" s="1" t="str">
        <f>IF(N47&gt;=(VLOOKUP(B47,Lembar2!$B$19:$C$24,2,FALSE)+7),"Delayed","Ontime")</f>
        <v>Delayed</v>
      </c>
      <c r="Q47" s="3">
        <f t="shared" si="3"/>
        <v>21637.75</v>
      </c>
      <c r="R47" s="3">
        <f t="shared" si="4"/>
        <v>19731.25</v>
      </c>
      <c r="S47" s="3">
        <f t="shared" si="5"/>
        <v>1906.5</v>
      </c>
      <c r="T47">
        <f t="shared" si="6"/>
        <v>0</v>
      </c>
    </row>
    <row r="48" spans="1:20" x14ac:dyDescent="0.25">
      <c r="A48" t="s">
        <v>851</v>
      </c>
      <c r="B48" t="s">
        <v>801</v>
      </c>
      <c r="C48" s="1">
        <v>45180</v>
      </c>
      <c r="D48" s="1">
        <f>IF(E48="",C48+VLOOKUP(B48,Lembar2!$B$19:$C$24,2,FALSE),'Procurement Dataset'!E48)</f>
        <v>45187</v>
      </c>
      <c r="E48" s="1">
        <v>45187</v>
      </c>
      <c r="F48" t="s">
        <v>804</v>
      </c>
      <c r="G48" t="s">
        <v>796</v>
      </c>
      <c r="H48" s="5">
        <v>1856</v>
      </c>
      <c r="I48" s="3">
        <v>59.77</v>
      </c>
      <c r="J48" s="3">
        <v>50.81</v>
      </c>
      <c r="K48" s="5">
        <f t="shared" si="1"/>
        <v>191</v>
      </c>
      <c r="L48">
        <v>191</v>
      </c>
      <c r="M48" t="s">
        <v>793</v>
      </c>
      <c r="N48">
        <f t="shared" si="0"/>
        <v>7</v>
      </c>
      <c r="O48" t="str">
        <f t="shared" si="2"/>
        <v>Valid</v>
      </c>
      <c r="P48" s="1" t="str">
        <f>IF(N48&gt;=(VLOOKUP(B48,Lembar2!$B$19:$C$24,2,FALSE)+7),"Delayed","Ontime")</f>
        <v>Ontime</v>
      </c>
      <c r="Q48" s="3">
        <f t="shared" si="3"/>
        <v>110933.12000000001</v>
      </c>
      <c r="R48" s="3">
        <f t="shared" si="4"/>
        <v>94303.360000000001</v>
      </c>
      <c r="S48" s="3">
        <f t="shared" si="5"/>
        <v>16629.760000000009</v>
      </c>
      <c r="T48">
        <f t="shared" si="6"/>
        <v>1</v>
      </c>
    </row>
    <row r="49" spans="1:20" x14ac:dyDescent="0.25">
      <c r="A49" t="s">
        <v>852</v>
      </c>
      <c r="B49" t="s">
        <v>807</v>
      </c>
      <c r="C49" s="1">
        <v>44832</v>
      </c>
      <c r="D49" s="1">
        <f>IF(E49="",C49+VLOOKUP(B49,Lembar2!$B$19:$C$24,2,FALSE),'Procurement Dataset'!E49)</f>
        <v>44848</v>
      </c>
      <c r="E49" s="1">
        <v>44848</v>
      </c>
      <c r="F49" t="s">
        <v>791</v>
      </c>
      <c r="G49" t="s">
        <v>796</v>
      </c>
      <c r="H49" s="5">
        <v>239</v>
      </c>
      <c r="I49" s="3">
        <v>11.46</v>
      </c>
      <c r="J49" s="3">
        <v>11.28</v>
      </c>
      <c r="K49" s="5">
        <f t="shared" si="1"/>
        <v>4</v>
      </c>
      <c r="L49">
        <v>4</v>
      </c>
      <c r="M49" t="s">
        <v>793</v>
      </c>
      <c r="N49">
        <f t="shared" si="0"/>
        <v>16</v>
      </c>
      <c r="O49" t="str">
        <f t="shared" si="2"/>
        <v>Valid</v>
      </c>
      <c r="P49" s="1" t="str">
        <f>IF(N49&gt;=(VLOOKUP(B49,Lembar2!$B$19:$C$24,2,FALSE)+7),"Delayed","Ontime")</f>
        <v>Ontime</v>
      </c>
      <c r="Q49" s="3">
        <f t="shared" si="3"/>
        <v>2738.94</v>
      </c>
      <c r="R49" s="3">
        <f t="shared" si="4"/>
        <v>2695.92</v>
      </c>
      <c r="S49" s="3">
        <f t="shared" si="5"/>
        <v>43.019999999999982</v>
      </c>
      <c r="T49">
        <f t="shared" si="6"/>
        <v>1</v>
      </c>
    </row>
    <row r="50" spans="1:20" x14ac:dyDescent="0.25">
      <c r="A50" t="s">
        <v>853</v>
      </c>
      <c r="B50" t="s">
        <v>795</v>
      </c>
      <c r="C50" s="1">
        <v>44606</v>
      </c>
      <c r="D50" s="1">
        <f>IF(E50="",C50+VLOOKUP(B50,Lembar2!$B$19:$C$24,2,FALSE),'Procurement Dataset'!E50)</f>
        <v>44625</v>
      </c>
      <c r="E50" s="1">
        <v>44625</v>
      </c>
      <c r="F50" t="s">
        <v>791</v>
      </c>
      <c r="G50" t="s">
        <v>813</v>
      </c>
      <c r="H50" s="5">
        <v>1007</v>
      </c>
      <c r="I50" s="3">
        <v>52.44</v>
      </c>
      <c r="J50" s="3">
        <v>46.06</v>
      </c>
      <c r="K50" s="5">
        <f t="shared" si="1"/>
        <v>167</v>
      </c>
      <c r="L50">
        <v>167</v>
      </c>
      <c r="M50" t="s">
        <v>793</v>
      </c>
      <c r="N50">
        <f t="shared" si="0"/>
        <v>19</v>
      </c>
      <c r="O50" t="str">
        <f t="shared" si="2"/>
        <v>Valid</v>
      </c>
      <c r="P50" s="1" t="str">
        <f>IF(N50&gt;=(VLOOKUP(B50,Lembar2!$B$19:$C$24,2,FALSE)+7),"Delayed","Ontime")</f>
        <v>Delayed</v>
      </c>
      <c r="Q50" s="3">
        <f t="shared" si="3"/>
        <v>52807.079999999994</v>
      </c>
      <c r="R50" s="3">
        <f t="shared" si="4"/>
        <v>46382.420000000006</v>
      </c>
      <c r="S50" s="3">
        <f t="shared" si="5"/>
        <v>6424.6599999999889</v>
      </c>
      <c r="T50">
        <f t="shared" si="6"/>
        <v>0</v>
      </c>
    </row>
    <row r="51" spans="1:20" x14ac:dyDescent="0.25">
      <c r="A51" t="s">
        <v>854</v>
      </c>
      <c r="B51" t="s">
        <v>790</v>
      </c>
      <c r="C51" s="1">
        <v>45032</v>
      </c>
      <c r="D51" s="1">
        <f>IF(E51="",C51+VLOOKUP(B51,Lembar2!$B$19:$C$24,2,FALSE),'Procurement Dataset'!E51)</f>
        <v>45043</v>
      </c>
      <c r="F51" t="s">
        <v>799</v>
      </c>
      <c r="G51" t="s">
        <v>813</v>
      </c>
      <c r="H51" s="5">
        <v>736</v>
      </c>
      <c r="I51" s="3">
        <v>16.2</v>
      </c>
      <c r="J51" s="3">
        <v>15.33</v>
      </c>
      <c r="K51" s="5">
        <f t="shared" si="1"/>
        <v>18</v>
      </c>
      <c r="L51">
        <v>18</v>
      </c>
      <c r="M51" t="s">
        <v>793</v>
      </c>
      <c r="N51" t="str">
        <f t="shared" si="0"/>
        <v/>
      </c>
      <c r="O51" t="str">
        <f t="shared" si="2"/>
        <v>Valid</v>
      </c>
      <c r="P51" s="1" t="str">
        <f>IF(N51&gt;=(VLOOKUP(B51,Lembar2!$B$19:$C$24,2,FALSE)+7),"Delayed","Ontime")</f>
        <v>Delayed</v>
      </c>
      <c r="Q51" s="3">
        <f t="shared" si="3"/>
        <v>11923.199999999999</v>
      </c>
      <c r="R51" s="3">
        <f t="shared" si="4"/>
        <v>11282.88</v>
      </c>
      <c r="S51" s="3">
        <f t="shared" si="5"/>
        <v>640.31999999999971</v>
      </c>
      <c r="T51">
        <f t="shared" si="6"/>
        <v>0</v>
      </c>
    </row>
    <row r="52" spans="1:20" x14ac:dyDescent="0.25">
      <c r="A52" t="s">
        <v>855</v>
      </c>
      <c r="B52" t="s">
        <v>807</v>
      </c>
      <c r="C52" s="1">
        <v>45111</v>
      </c>
      <c r="D52" s="1">
        <f>IF(E52="",C52+VLOOKUP(B52,Lembar2!$B$19:$C$24,2,FALSE),'Procurement Dataset'!E52)</f>
        <v>45121</v>
      </c>
      <c r="E52" s="1">
        <v>45121</v>
      </c>
      <c r="F52" t="s">
        <v>817</v>
      </c>
      <c r="G52" t="s">
        <v>796</v>
      </c>
      <c r="H52" s="5">
        <v>1007</v>
      </c>
      <c r="I52" s="3">
        <v>22.56</v>
      </c>
      <c r="J52" s="3">
        <v>19.59</v>
      </c>
      <c r="K52" s="5">
        <f t="shared" si="1"/>
        <v>0</v>
      </c>
      <c r="M52" t="s">
        <v>793</v>
      </c>
      <c r="N52">
        <f t="shared" si="0"/>
        <v>10</v>
      </c>
      <c r="O52" t="str">
        <f t="shared" si="2"/>
        <v>Valid</v>
      </c>
      <c r="P52" s="1" t="str">
        <f>IF(N52&gt;=(VLOOKUP(B52,Lembar2!$B$19:$C$24,2,FALSE)+7),"Delayed","Ontime")</f>
        <v>Ontime</v>
      </c>
      <c r="Q52" s="3">
        <f t="shared" si="3"/>
        <v>22717.919999999998</v>
      </c>
      <c r="R52" s="3">
        <f t="shared" si="4"/>
        <v>19727.13</v>
      </c>
      <c r="S52" s="3">
        <f t="shared" si="5"/>
        <v>2990.7899999999972</v>
      </c>
      <c r="T52">
        <f t="shared" si="6"/>
        <v>1</v>
      </c>
    </row>
    <row r="53" spans="1:20" x14ac:dyDescent="0.25">
      <c r="A53" t="s">
        <v>856</v>
      </c>
      <c r="B53" t="s">
        <v>795</v>
      </c>
      <c r="C53" s="1">
        <v>44689</v>
      </c>
      <c r="D53" s="1">
        <f>IF(E53="",C53+VLOOKUP(B53,Lembar2!$B$19:$C$24,2,FALSE),'Procurement Dataset'!E53)</f>
        <v>44700</v>
      </c>
      <c r="F53" t="s">
        <v>791</v>
      </c>
      <c r="G53" t="s">
        <v>796</v>
      </c>
      <c r="H53" s="5">
        <v>612</v>
      </c>
      <c r="I53" s="3">
        <v>20.99</v>
      </c>
      <c r="J53" s="3">
        <v>19.75</v>
      </c>
      <c r="K53" s="5">
        <f t="shared" si="1"/>
        <v>102</v>
      </c>
      <c r="L53">
        <v>102</v>
      </c>
      <c r="M53" t="s">
        <v>793</v>
      </c>
      <c r="N53" t="str">
        <f t="shared" si="0"/>
        <v/>
      </c>
      <c r="O53" t="str">
        <f t="shared" si="2"/>
        <v>Valid</v>
      </c>
      <c r="P53" s="1" t="str">
        <f>IF(N53&gt;=(VLOOKUP(B53,Lembar2!$B$19:$C$24,2,FALSE)+7),"Delayed","Ontime")</f>
        <v>Delayed</v>
      </c>
      <c r="Q53" s="3">
        <f t="shared" si="3"/>
        <v>12845.88</v>
      </c>
      <c r="R53" s="3">
        <f t="shared" si="4"/>
        <v>12087</v>
      </c>
      <c r="S53" s="3">
        <f t="shared" si="5"/>
        <v>758.8799999999992</v>
      </c>
      <c r="T53">
        <f t="shared" si="6"/>
        <v>0</v>
      </c>
    </row>
    <row r="54" spans="1:20" x14ac:dyDescent="0.25">
      <c r="A54" t="s">
        <v>857</v>
      </c>
      <c r="B54" t="s">
        <v>790</v>
      </c>
      <c r="C54" s="1">
        <v>44949</v>
      </c>
      <c r="D54" s="1">
        <f>IF(E54="",C54+VLOOKUP(B54,Lembar2!$B$19:$C$24,2,FALSE),'Procurement Dataset'!E54)</f>
        <v>44959</v>
      </c>
      <c r="E54" s="1">
        <v>44959</v>
      </c>
      <c r="F54" t="s">
        <v>799</v>
      </c>
      <c r="G54" t="s">
        <v>813</v>
      </c>
      <c r="H54" s="5">
        <v>1949</v>
      </c>
      <c r="I54" s="3">
        <v>72.53</v>
      </c>
      <c r="J54" s="3">
        <v>63.26</v>
      </c>
      <c r="K54" s="5">
        <f t="shared" si="1"/>
        <v>48</v>
      </c>
      <c r="L54">
        <v>48</v>
      </c>
      <c r="M54" t="s">
        <v>805</v>
      </c>
      <c r="N54">
        <f t="shared" si="0"/>
        <v>10</v>
      </c>
      <c r="O54" t="str">
        <f t="shared" si="2"/>
        <v>Valid</v>
      </c>
      <c r="P54" s="1" t="str">
        <f>IF(N54&gt;=(VLOOKUP(B54,Lembar2!$B$19:$C$24,2,FALSE)+7),"Delayed","Ontime")</f>
        <v>Ontime</v>
      </c>
      <c r="Q54" s="3">
        <f t="shared" si="3"/>
        <v>141360.97</v>
      </c>
      <c r="R54" s="3">
        <f t="shared" si="4"/>
        <v>123293.73999999999</v>
      </c>
      <c r="S54" s="3">
        <f t="shared" si="5"/>
        <v>18067.23000000001</v>
      </c>
      <c r="T54">
        <f t="shared" si="6"/>
        <v>1</v>
      </c>
    </row>
    <row r="55" spans="1:20" x14ac:dyDescent="0.25">
      <c r="A55" t="s">
        <v>858</v>
      </c>
      <c r="B55" t="s">
        <v>795</v>
      </c>
      <c r="C55" s="1">
        <v>44642</v>
      </c>
      <c r="D55" s="1">
        <f>IF(E55="",C55+VLOOKUP(B55,Lembar2!$B$19:$C$24,2,FALSE),'Procurement Dataset'!E55)</f>
        <v>44648</v>
      </c>
      <c r="E55" s="1">
        <v>44648</v>
      </c>
      <c r="F55" t="s">
        <v>791</v>
      </c>
      <c r="G55" t="s">
        <v>792</v>
      </c>
      <c r="H55" s="5">
        <v>1640</v>
      </c>
      <c r="I55" s="3">
        <v>77.92</v>
      </c>
      <c r="J55" s="3">
        <v>76.41</v>
      </c>
      <c r="K55" s="5">
        <f t="shared" si="1"/>
        <v>262</v>
      </c>
      <c r="L55">
        <v>262</v>
      </c>
      <c r="M55" t="s">
        <v>805</v>
      </c>
      <c r="N55">
        <f t="shared" si="0"/>
        <v>6</v>
      </c>
      <c r="O55" t="str">
        <f t="shared" si="2"/>
        <v>Valid</v>
      </c>
      <c r="P55" s="1" t="str">
        <f>IF(N55&gt;=(VLOOKUP(B55,Lembar2!$B$19:$C$24,2,FALSE)+7),"Delayed","Ontime")</f>
        <v>Ontime</v>
      </c>
      <c r="Q55" s="3">
        <f t="shared" si="3"/>
        <v>127788.8</v>
      </c>
      <c r="R55" s="3">
        <f t="shared" si="4"/>
        <v>125312.4</v>
      </c>
      <c r="S55" s="3">
        <f t="shared" si="5"/>
        <v>2476.4000000000087</v>
      </c>
      <c r="T55">
        <f t="shared" si="6"/>
        <v>1</v>
      </c>
    </row>
    <row r="56" spans="1:20" x14ac:dyDescent="0.25">
      <c r="A56" t="s">
        <v>859</v>
      </c>
      <c r="B56" t="s">
        <v>801</v>
      </c>
      <c r="C56" s="1">
        <v>45127</v>
      </c>
      <c r="D56" s="1">
        <f>IF(E56="",C56+VLOOKUP(B56,Lembar2!$B$19:$C$24,2,FALSE),'Procurement Dataset'!E56)</f>
        <v>45145</v>
      </c>
      <c r="E56" s="1">
        <v>45145</v>
      </c>
      <c r="F56" t="s">
        <v>817</v>
      </c>
      <c r="G56" t="s">
        <v>796</v>
      </c>
      <c r="H56" s="5">
        <v>1317</v>
      </c>
      <c r="I56" s="3">
        <v>68.13</v>
      </c>
      <c r="J56" s="3">
        <v>60.52</v>
      </c>
      <c r="K56" s="5">
        <f t="shared" si="1"/>
        <v>136</v>
      </c>
      <c r="L56">
        <v>136</v>
      </c>
      <c r="M56" t="s">
        <v>793</v>
      </c>
      <c r="N56">
        <f t="shared" si="0"/>
        <v>18</v>
      </c>
      <c r="O56" t="str">
        <f t="shared" si="2"/>
        <v>Valid</v>
      </c>
      <c r="P56" s="1" t="str">
        <f>IF(N56&gt;=(VLOOKUP(B56,Lembar2!$B$19:$C$24,2,FALSE)+7),"Delayed","Ontime")</f>
        <v>Ontime</v>
      </c>
      <c r="Q56" s="3">
        <f t="shared" si="3"/>
        <v>89727.209999999992</v>
      </c>
      <c r="R56" s="3">
        <f t="shared" si="4"/>
        <v>79704.840000000011</v>
      </c>
      <c r="S56" s="3">
        <f t="shared" si="5"/>
        <v>10022.369999999981</v>
      </c>
      <c r="T56">
        <f t="shared" si="6"/>
        <v>1</v>
      </c>
    </row>
    <row r="57" spans="1:20" x14ac:dyDescent="0.25">
      <c r="A57" t="s">
        <v>860</v>
      </c>
      <c r="B57" t="s">
        <v>807</v>
      </c>
      <c r="C57" s="1">
        <v>44862</v>
      </c>
      <c r="D57" s="1">
        <f>IF(E57="",C57+VLOOKUP(B57,Lembar2!$B$19:$C$24,2,FALSE),'Procurement Dataset'!E57)</f>
        <v>44864</v>
      </c>
      <c r="E57" s="1">
        <v>44864</v>
      </c>
      <c r="F57" t="s">
        <v>804</v>
      </c>
      <c r="G57" t="s">
        <v>796</v>
      </c>
      <c r="H57" s="5">
        <v>881</v>
      </c>
      <c r="I57" s="3">
        <v>100.94</v>
      </c>
      <c r="J57" s="3">
        <v>95.05</v>
      </c>
      <c r="K57" s="5">
        <f t="shared" si="1"/>
        <v>30</v>
      </c>
      <c r="L57">
        <v>30</v>
      </c>
      <c r="M57" t="s">
        <v>793</v>
      </c>
      <c r="N57">
        <f t="shared" si="0"/>
        <v>2</v>
      </c>
      <c r="O57" t="str">
        <f t="shared" si="2"/>
        <v>Valid</v>
      </c>
      <c r="P57" s="1" t="str">
        <f>IF(N57&gt;=(VLOOKUP(B57,Lembar2!$B$19:$C$24,2,FALSE)+7),"Delayed","Ontime")</f>
        <v>Ontime</v>
      </c>
      <c r="Q57" s="3">
        <f t="shared" si="3"/>
        <v>88928.14</v>
      </c>
      <c r="R57" s="3">
        <f t="shared" si="4"/>
        <v>83739.05</v>
      </c>
      <c r="S57" s="3">
        <f t="shared" si="5"/>
        <v>5189.0899999999965</v>
      </c>
      <c r="T57">
        <f t="shared" si="6"/>
        <v>1</v>
      </c>
    </row>
    <row r="58" spans="1:20" x14ac:dyDescent="0.25">
      <c r="A58" t="s">
        <v>861</v>
      </c>
      <c r="B58" t="s">
        <v>795</v>
      </c>
      <c r="C58" s="1">
        <v>45205</v>
      </c>
      <c r="D58" s="1">
        <f>IF(E58="",C58+VLOOKUP(B58,Lembar2!$B$19:$C$24,2,FALSE),'Procurement Dataset'!E58)</f>
        <v>45216</v>
      </c>
      <c r="F58" t="s">
        <v>802</v>
      </c>
      <c r="G58" t="s">
        <v>796</v>
      </c>
      <c r="H58" s="5">
        <v>1578</v>
      </c>
      <c r="I58" s="3">
        <v>48.33</v>
      </c>
      <c r="J58" s="3">
        <v>42.77</v>
      </c>
      <c r="K58" s="5">
        <f t="shared" si="1"/>
        <v>206</v>
      </c>
      <c r="L58">
        <v>206</v>
      </c>
      <c r="M58" t="s">
        <v>793</v>
      </c>
      <c r="N58" t="str">
        <f t="shared" si="0"/>
        <v/>
      </c>
      <c r="O58" t="str">
        <f t="shared" si="2"/>
        <v>Valid</v>
      </c>
      <c r="P58" s="1" t="str">
        <f>IF(N58&gt;=(VLOOKUP(B58,Lembar2!$B$19:$C$24,2,FALSE)+7),"Delayed","Ontime")</f>
        <v>Delayed</v>
      </c>
      <c r="Q58" s="3">
        <f t="shared" si="3"/>
        <v>76264.739999999991</v>
      </c>
      <c r="R58" s="3">
        <f t="shared" si="4"/>
        <v>67491.06</v>
      </c>
      <c r="S58" s="3">
        <f t="shared" si="5"/>
        <v>8773.679999999993</v>
      </c>
      <c r="T58">
        <f t="shared" si="6"/>
        <v>0</v>
      </c>
    </row>
    <row r="59" spans="1:20" x14ac:dyDescent="0.25">
      <c r="A59" t="s">
        <v>862</v>
      </c>
      <c r="B59" t="s">
        <v>795</v>
      </c>
      <c r="C59" s="1">
        <v>45195</v>
      </c>
      <c r="D59" s="1">
        <f>IF(E59="",C59+VLOOKUP(B59,Lembar2!$B$19:$C$24,2,FALSE),'Procurement Dataset'!E59)</f>
        <v>45200</v>
      </c>
      <c r="E59" s="1">
        <v>45200</v>
      </c>
      <c r="F59" t="s">
        <v>799</v>
      </c>
      <c r="G59" t="s">
        <v>796</v>
      </c>
      <c r="H59" s="5">
        <v>1204</v>
      </c>
      <c r="I59" s="3">
        <v>39.29</v>
      </c>
      <c r="J59" s="3">
        <v>35.44</v>
      </c>
      <c r="K59" s="5">
        <f t="shared" si="1"/>
        <v>0</v>
      </c>
      <c r="M59" t="s">
        <v>793</v>
      </c>
      <c r="N59">
        <f t="shared" si="0"/>
        <v>5</v>
      </c>
      <c r="O59" t="str">
        <f t="shared" si="2"/>
        <v>Valid</v>
      </c>
      <c r="P59" s="1" t="str">
        <f>IF(N59&gt;=(VLOOKUP(B59,Lembar2!$B$19:$C$24,2,FALSE)+7),"Delayed","Ontime")</f>
        <v>Ontime</v>
      </c>
      <c r="Q59" s="3">
        <f t="shared" si="3"/>
        <v>47305.159999999996</v>
      </c>
      <c r="R59" s="3">
        <f t="shared" si="4"/>
        <v>42669.759999999995</v>
      </c>
      <c r="S59" s="3">
        <f t="shared" si="5"/>
        <v>4635.4000000000015</v>
      </c>
      <c r="T59">
        <f t="shared" si="6"/>
        <v>1</v>
      </c>
    </row>
    <row r="60" spans="1:20" x14ac:dyDescent="0.25">
      <c r="A60" t="s">
        <v>863</v>
      </c>
      <c r="B60" t="s">
        <v>807</v>
      </c>
      <c r="C60" s="1">
        <v>44932</v>
      </c>
      <c r="D60" s="1">
        <f>IF(E60="",C60+VLOOKUP(B60,Lembar2!$B$19:$C$24,2,FALSE),'Procurement Dataset'!E60)</f>
        <v>44948</v>
      </c>
      <c r="E60" s="1">
        <v>44948</v>
      </c>
      <c r="F60" t="s">
        <v>799</v>
      </c>
      <c r="G60" t="s">
        <v>813</v>
      </c>
      <c r="H60" s="5">
        <v>1558</v>
      </c>
      <c r="I60" s="3">
        <v>93.46</v>
      </c>
      <c r="J60" s="3">
        <v>91.27</v>
      </c>
      <c r="K60" s="5">
        <f t="shared" si="1"/>
        <v>39</v>
      </c>
      <c r="L60">
        <v>39</v>
      </c>
      <c r="M60" t="s">
        <v>793</v>
      </c>
      <c r="N60">
        <f t="shared" si="0"/>
        <v>16</v>
      </c>
      <c r="O60" t="str">
        <f t="shared" si="2"/>
        <v>Valid</v>
      </c>
      <c r="P60" s="1" t="str">
        <f>IF(N60&gt;=(VLOOKUP(B60,Lembar2!$B$19:$C$24,2,FALSE)+7),"Delayed","Ontime")</f>
        <v>Ontime</v>
      </c>
      <c r="Q60" s="3">
        <f t="shared" si="3"/>
        <v>145610.68</v>
      </c>
      <c r="R60" s="3">
        <f t="shared" si="4"/>
        <v>142198.66</v>
      </c>
      <c r="S60" s="3">
        <f t="shared" si="5"/>
        <v>3412.0199999999895</v>
      </c>
      <c r="T60">
        <f t="shared" si="6"/>
        <v>1</v>
      </c>
    </row>
    <row r="61" spans="1:20" x14ac:dyDescent="0.25">
      <c r="A61" t="s">
        <v>864</v>
      </c>
      <c r="B61" t="s">
        <v>790</v>
      </c>
      <c r="C61" s="1">
        <v>45153</v>
      </c>
      <c r="D61" s="1">
        <f>IF(E61="",C61+VLOOKUP(B61,Lembar2!$B$19:$C$24,2,FALSE),'Procurement Dataset'!E61)</f>
        <v>45154</v>
      </c>
      <c r="E61" s="1">
        <v>45154</v>
      </c>
      <c r="F61" t="s">
        <v>802</v>
      </c>
      <c r="G61" t="s">
        <v>796</v>
      </c>
      <c r="H61" s="5">
        <v>1892</v>
      </c>
      <c r="I61" s="3">
        <v>32.99</v>
      </c>
      <c r="J61" s="3">
        <v>28.81</v>
      </c>
      <c r="K61" s="5">
        <f t="shared" si="1"/>
        <v>35</v>
      </c>
      <c r="L61">
        <v>35</v>
      </c>
      <c r="M61" t="s">
        <v>793</v>
      </c>
      <c r="N61">
        <f t="shared" si="0"/>
        <v>1</v>
      </c>
      <c r="O61" t="str">
        <f t="shared" si="2"/>
        <v>Valid</v>
      </c>
      <c r="P61" s="1" t="str">
        <f>IF(N61&gt;=(VLOOKUP(B61,Lembar2!$B$19:$C$24,2,FALSE)+7),"Delayed","Ontime")</f>
        <v>Ontime</v>
      </c>
      <c r="Q61" s="3">
        <f t="shared" si="3"/>
        <v>62417.08</v>
      </c>
      <c r="R61" s="3">
        <f t="shared" si="4"/>
        <v>54508.52</v>
      </c>
      <c r="S61" s="3">
        <f t="shared" si="5"/>
        <v>7908.5600000000049</v>
      </c>
      <c r="T61">
        <f t="shared" si="6"/>
        <v>1</v>
      </c>
    </row>
    <row r="62" spans="1:20" x14ac:dyDescent="0.25">
      <c r="A62" t="s">
        <v>865</v>
      </c>
      <c r="B62" t="s">
        <v>807</v>
      </c>
      <c r="C62" s="1">
        <v>44758</v>
      </c>
      <c r="D62" s="1">
        <f>IF(E62="",C62+VLOOKUP(B62,Lembar2!$B$19:$C$24,2,FALSE),'Procurement Dataset'!E62)</f>
        <v>44774</v>
      </c>
      <c r="E62" s="1">
        <v>44774</v>
      </c>
      <c r="F62" t="s">
        <v>802</v>
      </c>
      <c r="G62" t="s">
        <v>796</v>
      </c>
      <c r="H62" s="5">
        <v>696</v>
      </c>
      <c r="I62" s="3">
        <v>99.59</v>
      </c>
      <c r="J62" s="3">
        <v>90.18</v>
      </c>
      <c r="K62" s="5">
        <f t="shared" si="1"/>
        <v>25</v>
      </c>
      <c r="L62">
        <v>25</v>
      </c>
      <c r="M62" t="s">
        <v>793</v>
      </c>
      <c r="N62">
        <f t="shared" si="0"/>
        <v>16</v>
      </c>
      <c r="O62" t="str">
        <f t="shared" si="2"/>
        <v>Valid</v>
      </c>
      <c r="P62" s="1" t="str">
        <f>IF(N62&gt;=(VLOOKUP(B62,Lembar2!$B$19:$C$24,2,FALSE)+7),"Delayed","Ontime")</f>
        <v>Ontime</v>
      </c>
      <c r="Q62" s="3">
        <f t="shared" si="3"/>
        <v>69314.64</v>
      </c>
      <c r="R62" s="3">
        <f t="shared" si="4"/>
        <v>62765.280000000006</v>
      </c>
      <c r="S62" s="3">
        <f t="shared" si="5"/>
        <v>6549.3599999999933</v>
      </c>
      <c r="T62">
        <f t="shared" si="6"/>
        <v>1</v>
      </c>
    </row>
    <row r="63" spans="1:20" x14ac:dyDescent="0.25">
      <c r="A63" t="s">
        <v>866</v>
      </c>
      <c r="B63" t="s">
        <v>795</v>
      </c>
      <c r="C63" s="1">
        <v>45283</v>
      </c>
      <c r="D63" s="1">
        <f>IF(E63="",C63+VLOOKUP(B63,Lembar2!$B$19:$C$24,2,FALSE),'Procurement Dataset'!E63)</f>
        <v>45294</v>
      </c>
      <c r="E63" s="1">
        <v>45294</v>
      </c>
      <c r="F63" t="s">
        <v>799</v>
      </c>
      <c r="G63" t="s">
        <v>811</v>
      </c>
      <c r="H63" s="5">
        <v>70</v>
      </c>
      <c r="I63" s="3">
        <v>12.37</v>
      </c>
      <c r="J63" s="3">
        <v>11.04</v>
      </c>
      <c r="K63" s="5">
        <f t="shared" si="1"/>
        <v>10</v>
      </c>
      <c r="L63">
        <v>10</v>
      </c>
      <c r="M63" t="s">
        <v>793</v>
      </c>
      <c r="N63">
        <f t="shared" si="0"/>
        <v>11</v>
      </c>
      <c r="O63" t="str">
        <f t="shared" si="2"/>
        <v>Valid</v>
      </c>
      <c r="P63" s="1" t="str">
        <f>IF(N63&gt;=(VLOOKUP(B63,Lembar2!$B$19:$C$24,2,FALSE)+7),"Delayed","Ontime")</f>
        <v>Ontime</v>
      </c>
      <c r="Q63" s="3">
        <f t="shared" si="3"/>
        <v>865.9</v>
      </c>
      <c r="R63" s="3">
        <f t="shared" si="4"/>
        <v>772.8</v>
      </c>
      <c r="S63" s="3">
        <f t="shared" si="5"/>
        <v>93.100000000000023</v>
      </c>
      <c r="T63">
        <f t="shared" si="6"/>
        <v>1</v>
      </c>
    </row>
    <row r="64" spans="1:20" x14ac:dyDescent="0.25">
      <c r="A64" t="s">
        <v>867</v>
      </c>
      <c r="B64" t="s">
        <v>798</v>
      </c>
      <c r="C64" s="1">
        <v>44633</v>
      </c>
      <c r="D64" s="1">
        <f>IF(E64="",C64+VLOOKUP(B64,Lembar2!$B$19:$C$24,2,FALSE),'Procurement Dataset'!E64)</f>
        <v>44635</v>
      </c>
      <c r="E64" s="1">
        <v>44635</v>
      </c>
      <c r="F64" t="s">
        <v>804</v>
      </c>
      <c r="G64" t="s">
        <v>796</v>
      </c>
      <c r="H64" s="5">
        <v>890</v>
      </c>
      <c r="I64" s="3">
        <v>98.26</v>
      </c>
      <c r="J64" s="3">
        <v>93.14</v>
      </c>
      <c r="K64" s="5">
        <f t="shared" si="1"/>
        <v>49</v>
      </c>
      <c r="L64">
        <v>49</v>
      </c>
      <c r="M64" t="s">
        <v>793</v>
      </c>
      <c r="N64">
        <f t="shared" si="0"/>
        <v>2</v>
      </c>
      <c r="O64" t="str">
        <f t="shared" si="2"/>
        <v>Valid</v>
      </c>
      <c r="P64" s="1" t="str">
        <f>IF(N64&gt;=(VLOOKUP(B64,Lembar2!$B$19:$C$24,2,FALSE)+7),"Delayed","Ontime")</f>
        <v>Ontime</v>
      </c>
      <c r="Q64" s="3">
        <f t="shared" si="3"/>
        <v>87451.400000000009</v>
      </c>
      <c r="R64" s="3">
        <f t="shared" si="4"/>
        <v>82894.600000000006</v>
      </c>
      <c r="S64" s="3">
        <f t="shared" si="5"/>
        <v>4556.8000000000029</v>
      </c>
      <c r="T64">
        <f t="shared" si="6"/>
        <v>1</v>
      </c>
    </row>
    <row r="65" spans="1:20" x14ac:dyDescent="0.25">
      <c r="A65" t="s">
        <v>868</v>
      </c>
      <c r="B65" t="s">
        <v>790</v>
      </c>
      <c r="C65" s="1">
        <v>44608</v>
      </c>
      <c r="D65" s="1">
        <f>IF(E65="",C65+VLOOKUP(B65,Lembar2!$B$19:$C$24,2,FALSE),'Procurement Dataset'!E65)</f>
        <v>44624</v>
      </c>
      <c r="E65" s="1">
        <v>44624</v>
      </c>
      <c r="F65" t="s">
        <v>799</v>
      </c>
      <c r="G65" t="s">
        <v>796</v>
      </c>
      <c r="H65" s="5">
        <v>216</v>
      </c>
      <c r="I65" s="3">
        <v>13.95</v>
      </c>
      <c r="J65" s="3">
        <v>12.31</v>
      </c>
      <c r="K65" s="5">
        <f t="shared" si="1"/>
        <v>5</v>
      </c>
      <c r="L65">
        <v>5</v>
      </c>
      <c r="M65" t="s">
        <v>793</v>
      </c>
      <c r="N65">
        <f t="shared" si="0"/>
        <v>16</v>
      </c>
      <c r="O65" t="str">
        <f t="shared" si="2"/>
        <v>Valid</v>
      </c>
      <c r="P65" s="1" t="str">
        <f>IF(N65&gt;=(VLOOKUP(B65,Lembar2!$B$19:$C$24,2,FALSE)+7),"Delayed","Ontime")</f>
        <v>Ontime</v>
      </c>
      <c r="Q65" s="3">
        <f t="shared" si="3"/>
        <v>3013.2</v>
      </c>
      <c r="R65" s="3">
        <f t="shared" si="4"/>
        <v>2658.96</v>
      </c>
      <c r="S65" s="3">
        <f t="shared" si="5"/>
        <v>354.23999999999978</v>
      </c>
      <c r="T65">
        <f t="shared" si="6"/>
        <v>1</v>
      </c>
    </row>
    <row r="66" spans="1:20" x14ac:dyDescent="0.25">
      <c r="A66" t="s">
        <v>869</v>
      </c>
      <c r="B66" t="s">
        <v>795</v>
      </c>
      <c r="C66" s="1">
        <v>45239</v>
      </c>
      <c r="D66" s="1">
        <f>IF(E66="",C66+VLOOKUP(B66,Lembar2!$B$19:$C$24,2,FALSE),'Procurement Dataset'!E66)</f>
        <v>45242</v>
      </c>
      <c r="E66" s="1">
        <v>45242</v>
      </c>
      <c r="F66" t="s">
        <v>802</v>
      </c>
      <c r="G66" t="s">
        <v>796</v>
      </c>
      <c r="H66" s="5">
        <v>1347</v>
      </c>
      <c r="I66" s="3">
        <v>100.13</v>
      </c>
      <c r="J66" s="3">
        <v>94.3</v>
      </c>
      <c r="K66" s="5">
        <f t="shared" si="1"/>
        <v>200</v>
      </c>
      <c r="L66">
        <v>200</v>
      </c>
      <c r="M66" t="s">
        <v>793</v>
      </c>
      <c r="N66">
        <f t="shared" ref="N66:N129" si="7">IF(E66 = "", "", E66-C66)</f>
        <v>3</v>
      </c>
      <c r="O66" t="str">
        <f t="shared" si="2"/>
        <v>Valid</v>
      </c>
      <c r="P66" s="1" t="str">
        <f>IF(N66&gt;=(VLOOKUP(B66,Lembar2!$B$19:$C$24,2,FALSE)+7),"Delayed","Ontime")</f>
        <v>Ontime</v>
      </c>
      <c r="Q66" s="3">
        <f t="shared" si="3"/>
        <v>134875.10999999999</v>
      </c>
      <c r="R66" s="3">
        <f t="shared" si="4"/>
        <v>127022.09999999999</v>
      </c>
      <c r="S66" s="3">
        <f t="shared" si="5"/>
        <v>7853.0099999999948</v>
      </c>
      <c r="T66">
        <f t="shared" si="6"/>
        <v>1</v>
      </c>
    </row>
    <row r="67" spans="1:20" x14ac:dyDescent="0.25">
      <c r="A67" t="s">
        <v>870</v>
      </c>
      <c r="B67" t="s">
        <v>798</v>
      </c>
      <c r="C67" s="1">
        <v>44795</v>
      </c>
      <c r="D67" s="1">
        <f>IF(E67="",C67+VLOOKUP(B67,Lembar2!$B$19:$C$24,2,FALSE),'Procurement Dataset'!E67)</f>
        <v>44798</v>
      </c>
      <c r="E67" s="1">
        <v>44798</v>
      </c>
      <c r="F67" t="s">
        <v>791</v>
      </c>
      <c r="G67" t="s">
        <v>811</v>
      </c>
      <c r="H67" s="5">
        <v>437</v>
      </c>
      <c r="I67" s="3">
        <v>59.51</v>
      </c>
      <c r="J67" s="3">
        <v>56.45</v>
      </c>
      <c r="K67" s="5">
        <f t="shared" ref="K67:K130" si="8">IF(L67="", 0, L67)</f>
        <v>25</v>
      </c>
      <c r="L67">
        <v>25</v>
      </c>
      <c r="M67" t="s">
        <v>805</v>
      </c>
      <c r="N67">
        <f t="shared" si="7"/>
        <v>3</v>
      </c>
      <c r="O67" t="str">
        <f t="shared" ref="O67:O130" si="9">IF(D67&lt;C67,"Invalid","Valid")</f>
        <v>Valid</v>
      </c>
      <c r="P67" s="1" t="str">
        <f>IF(N67&gt;=(VLOOKUP(B67,Lembar2!$B$19:$C$24,2,FALSE)+7),"Delayed","Ontime")</f>
        <v>Ontime</v>
      </c>
      <c r="Q67" s="3">
        <f t="shared" ref="Q67:Q130" si="10">H67*I67</f>
        <v>26005.87</v>
      </c>
      <c r="R67" s="3">
        <f t="shared" ref="R67:R130" si="11">H67*J67</f>
        <v>24668.65</v>
      </c>
      <c r="S67" s="3">
        <f t="shared" ref="S67:S130" si="12">Q67-R67</f>
        <v>1337.2199999999975</v>
      </c>
      <c r="T67">
        <f t="shared" ref="T67:T130" si="13">IF(P67="Ontime",1,0)</f>
        <v>1</v>
      </c>
    </row>
    <row r="68" spans="1:20" x14ac:dyDescent="0.25">
      <c r="A68" t="s">
        <v>871</v>
      </c>
      <c r="B68" t="s">
        <v>790</v>
      </c>
      <c r="C68" s="1">
        <v>44858</v>
      </c>
      <c r="D68" s="1">
        <f>IF(E68="",C68+VLOOKUP(B68,Lembar2!$B$19:$C$24,2,FALSE),'Procurement Dataset'!E68)</f>
        <v>44860</v>
      </c>
      <c r="E68" s="1">
        <v>44860</v>
      </c>
      <c r="F68" t="s">
        <v>817</v>
      </c>
      <c r="G68" t="s">
        <v>796</v>
      </c>
      <c r="H68" s="5">
        <v>650</v>
      </c>
      <c r="I68" s="3">
        <v>103.84</v>
      </c>
      <c r="J68" s="3">
        <v>88.28</v>
      </c>
      <c r="K68" s="5">
        <f t="shared" si="8"/>
        <v>12</v>
      </c>
      <c r="L68">
        <v>12</v>
      </c>
      <c r="M68" t="s">
        <v>793</v>
      </c>
      <c r="N68">
        <f t="shared" si="7"/>
        <v>2</v>
      </c>
      <c r="O68" t="str">
        <f t="shared" si="9"/>
        <v>Valid</v>
      </c>
      <c r="P68" s="1" t="str">
        <f>IF(N68&gt;=(VLOOKUP(B68,Lembar2!$B$19:$C$24,2,FALSE)+7),"Delayed","Ontime")</f>
        <v>Ontime</v>
      </c>
      <c r="Q68" s="3">
        <f t="shared" si="10"/>
        <v>67496</v>
      </c>
      <c r="R68" s="3">
        <f t="shared" si="11"/>
        <v>57382</v>
      </c>
      <c r="S68" s="3">
        <f t="shared" si="12"/>
        <v>10114</v>
      </c>
      <c r="T68">
        <f t="shared" si="13"/>
        <v>1</v>
      </c>
    </row>
    <row r="69" spans="1:20" x14ac:dyDescent="0.25">
      <c r="A69" t="s">
        <v>872</v>
      </c>
      <c r="B69" t="s">
        <v>801</v>
      </c>
      <c r="C69" s="1">
        <v>44643</v>
      </c>
      <c r="D69" s="1">
        <f>IF(E69="",C69+VLOOKUP(B69,Lembar2!$B$19:$C$24,2,FALSE),'Procurement Dataset'!E69)</f>
        <v>44662</v>
      </c>
      <c r="E69" s="1">
        <v>44662</v>
      </c>
      <c r="F69" t="s">
        <v>791</v>
      </c>
      <c r="G69" t="s">
        <v>796</v>
      </c>
      <c r="H69" s="5">
        <v>365</v>
      </c>
      <c r="I69" s="3">
        <v>16.809999999999999</v>
      </c>
      <c r="J69" s="3">
        <v>15.41</v>
      </c>
      <c r="K69" s="5">
        <f t="shared" si="8"/>
        <v>38</v>
      </c>
      <c r="L69">
        <v>38</v>
      </c>
      <c r="M69" t="s">
        <v>793</v>
      </c>
      <c r="N69">
        <f t="shared" si="7"/>
        <v>19</v>
      </c>
      <c r="O69" t="str">
        <f t="shared" si="9"/>
        <v>Valid</v>
      </c>
      <c r="P69" s="1" t="str">
        <f>IF(N69&gt;=(VLOOKUP(B69,Lembar2!$B$19:$C$24,2,FALSE)+7),"Delayed","Ontime")</f>
        <v>Delayed</v>
      </c>
      <c r="Q69" s="3">
        <f t="shared" si="10"/>
        <v>6135.65</v>
      </c>
      <c r="R69" s="3">
        <f t="shared" si="11"/>
        <v>5624.65</v>
      </c>
      <c r="S69" s="3">
        <f t="shared" si="12"/>
        <v>511</v>
      </c>
      <c r="T69">
        <f t="shared" si="13"/>
        <v>0</v>
      </c>
    </row>
    <row r="70" spans="1:20" x14ac:dyDescent="0.25">
      <c r="A70" t="s">
        <v>873</v>
      </c>
      <c r="B70" t="s">
        <v>807</v>
      </c>
      <c r="C70" s="1">
        <v>44800</v>
      </c>
      <c r="D70" s="1">
        <f>IF(E70="",C70+VLOOKUP(B70,Lembar2!$B$19:$C$24,2,FALSE),'Procurement Dataset'!E70)</f>
        <v>44811</v>
      </c>
      <c r="F70" t="s">
        <v>804</v>
      </c>
      <c r="G70" t="s">
        <v>792</v>
      </c>
      <c r="H70" s="5">
        <v>63</v>
      </c>
      <c r="I70" s="3">
        <v>61.94</v>
      </c>
      <c r="J70" s="3">
        <v>53.8</v>
      </c>
      <c r="K70" s="5">
        <f t="shared" si="8"/>
        <v>0</v>
      </c>
      <c r="M70" t="s">
        <v>793</v>
      </c>
      <c r="N70" t="str">
        <f t="shared" si="7"/>
        <v/>
      </c>
      <c r="O70" t="str">
        <f t="shared" si="9"/>
        <v>Valid</v>
      </c>
      <c r="P70" s="1" t="str">
        <f>IF(N70&gt;=(VLOOKUP(B70,Lembar2!$B$19:$C$24,2,FALSE)+7),"Delayed","Ontime")</f>
        <v>Delayed</v>
      </c>
      <c r="Q70" s="3">
        <f t="shared" si="10"/>
        <v>3902.22</v>
      </c>
      <c r="R70" s="3">
        <f t="shared" si="11"/>
        <v>3389.3999999999996</v>
      </c>
      <c r="S70" s="3">
        <f t="shared" si="12"/>
        <v>512.82000000000016</v>
      </c>
      <c r="T70">
        <f t="shared" si="13"/>
        <v>0</v>
      </c>
    </row>
    <row r="71" spans="1:20" x14ac:dyDescent="0.25">
      <c r="A71" t="s">
        <v>874</v>
      </c>
      <c r="B71" t="s">
        <v>790</v>
      </c>
      <c r="C71" s="1">
        <v>44665</v>
      </c>
      <c r="D71" s="1">
        <f>IF(E71="",C71+VLOOKUP(B71,Lembar2!$B$19:$C$24,2,FALSE),'Procurement Dataset'!E71)</f>
        <v>44673</v>
      </c>
      <c r="E71" s="1">
        <v>44673</v>
      </c>
      <c r="F71" t="s">
        <v>799</v>
      </c>
      <c r="G71" t="s">
        <v>796</v>
      </c>
      <c r="H71" s="5">
        <v>291</v>
      </c>
      <c r="I71" s="3">
        <v>98.7</v>
      </c>
      <c r="J71" s="3">
        <v>87.02</v>
      </c>
      <c r="K71" s="5">
        <f t="shared" si="8"/>
        <v>9</v>
      </c>
      <c r="L71">
        <v>9</v>
      </c>
      <c r="M71" t="s">
        <v>793</v>
      </c>
      <c r="N71">
        <f t="shared" si="7"/>
        <v>8</v>
      </c>
      <c r="O71" t="str">
        <f t="shared" si="9"/>
        <v>Valid</v>
      </c>
      <c r="P71" s="1" t="str">
        <f>IF(N71&gt;=(VLOOKUP(B71,Lembar2!$B$19:$C$24,2,FALSE)+7),"Delayed","Ontime")</f>
        <v>Ontime</v>
      </c>
      <c r="Q71" s="3">
        <f t="shared" si="10"/>
        <v>28721.7</v>
      </c>
      <c r="R71" s="3">
        <f t="shared" si="11"/>
        <v>25322.82</v>
      </c>
      <c r="S71" s="3">
        <f t="shared" si="12"/>
        <v>3398.880000000001</v>
      </c>
      <c r="T71">
        <f t="shared" si="13"/>
        <v>1</v>
      </c>
    </row>
    <row r="72" spans="1:20" x14ac:dyDescent="0.25">
      <c r="A72" t="s">
        <v>875</v>
      </c>
      <c r="B72" t="s">
        <v>790</v>
      </c>
      <c r="C72" s="1">
        <v>44951</v>
      </c>
      <c r="D72" s="1">
        <f>IF(E72="",C72+VLOOKUP(B72,Lembar2!$B$19:$C$24,2,FALSE),'Procurement Dataset'!E72)</f>
        <v>44965</v>
      </c>
      <c r="E72" s="1">
        <v>44965</v>
      </c>
      <c r="F72" t="s">
        <v>799</v>
      </c>
      <c r="G72" t="s">
        <v>792</v>
      </c>
      <c r="H72" s="5">
        <v>826</v>
      </c>
      <c r="I72" s="3">
        <v>60.5</v>
      </c>
      <c r="J72" s="3">
        <v>57.18</v>
      </c>
      <c r="K72" s="5">
        <f t="shared" si="8"/>
        <v>18</v>
      </c>
      <c r="L72">
        <v>18</v>
      </c>
      <c r="M72" t="s">
        <v>793</v>
      </c>
      <c r="N72">
        <f t="shared" si="7"/>
        <v>14</v>
      </c>
      <c r="O72" t="str">
        <f t="shared" si="9"/>
        <v>Valid</v>
      </c>
      <c r="P72" s="1" t="str">
        <f>IF(N72&gt;=(VLOOKUP(B72,Lembar2!$B$19:$C$24,2,FALSE)+7),"Delayed","Ontime")</f>
        <v>Ontime</v>
      </c>
      <c r="Q72" s="3">
        <f t="shared" si="10"/>
        <v>49973</v>
      </c>
      <c r="R72" s="3">
        <f t="shared" si="11"/>
        <v>47230.68</v>
      </c>
      <c r="S72" s="3">
        <f t="shared" si="12"/>
        <v>2742.3199999999997</v>
      </c>
      <c r="T72">
        <f t="shared" si="13"/>
        <v>1</v>
      </c>
    </row>
    <row r="73" spans="1:20" x14ac:dyDescent="0.25">
      <c r="A73" t="s">
        <v>876</v>
      </c>
      <c r="B73" t="s">
        <v>795</v>
      </c>
      <c r="C73" s="1">
        <v>44846</v>
      </c>
      <c r="D73" s="1">
        <f>IF(E73="",C73+VLOOKUP(B73,Lembar2!$B$19:$C$24,2,FALSE),'Procurement Dataset'!E73)</f>
        <v>44866</v>
      </c>
      <c r="E73" s="1">
        <v>44866</v>
      </c>
      <c r="F73" t="s">
        <v>817</v>
      </c>
      <c r="G73" t="s">
        <v>813</v>
      </c>
      <c r="H73" s="5">
        <v>1419</v>
      </c>
      <c r="I73" s="3">
        <v>69.64</v>
      </c>
      <c r="J73" s="3">
        <v>59.28</v>
      </c>
      <c r="K73" s="5">
        <f t="shared" si="8"/>
        <v>194</v>
      </c>
      <c r="L73">
        <v>194</v>
      </c>
      <c r="M73" t="s">
        <v>793</v>
      </c>
      <c r="N73">
        <f t="shared" si="7"/>
        <v>20</v>
      </c>
      <c r="O73" t="str">
        <f t="shared" si="9"/>
        <v>Valid</v>
      </c>
      <c r="P73" s="1" t="str">
        <f>IF(N73&gt;=(VLOOKUP(B73,Lembar2!$B$19:$C$24,2,FALSE)+7),"Delayed","Ontime")</f>
        <v>Delayed</v>
      </c>
      <c r="Q73" s="3">
        <f t="shared" si="10"/>
        <v>98819.16</v>
      </c>
      <c r="R73" s="3">
        <f t="shared" si="11"/>
        <v>84118.32</v>
      </c>
      <c r="S73" s="3">
        <f t="shared" si="12"/>
        <v>14700.839999999997</v>
      </c>
      <c r="T73">
        <f t="shared" si="13"/>
        <v>0</v>
      </c>
    </row>
    <row r="74" spans="1:20" x14ac:dyDescent="0.25">
      <c r="A74" t="s">
        <v>877</v>
      </c>
      <c r="B74" t="s">
        <v>798</v>
      </c>
      <c r="C74" s="1">
        <v>45026</v>
      </c>
      <c r="D74" s="1">
        <f>IF(E74="",C74+VLOOKUP(B74,Lembar2!$B$19:$C$24,2,FALSE),'Procurement Dataset'!E74)</f>
        <v>45043</v>
      </c>
      <c r="E74" s="1">
        <v>45043</v>
      </c>
      <c r="F74" t="s">
        <v>791</v>
      </c>
      <c r="G74" t="s">
        <v>796</v>
      </c>
      <c r="H74" s="5">
        <v>614</v>
      </c>
      <c r="I74" s="3">
        <v>78.06</v>
      </c>
      <c r="J74" s="3">
        <v>73.95</v>
      </c>
      <c r="K74" s="5">
        <f t="shared" si="8"/>
        <v>40</v>
      </c>
      <c r="L74">
        <v>40</v>
      </c>
      <c r="M74" t="s">
        <v>793</v>
      </c>
      <c r="N74">
        <f t="shared" si="7"/>
        <v>17</v>
      </c>
      <c r="O74" t="str">
        <f t="shared" si="9"/>
        <v>Valid</v>
      </c>
      <c r="P74" s="1" t="str">
        <f>IF(N74&gt;=(VLOOKUP(B74,Lembar2!$B$19:$C$24,2,FALSE)+7),"Delayed","Ontime")</f>
        <v>Delayed</v>
      </c>
      <c r="Q74" s="3">
        <f t="shared" si="10"/>
        <v>47928.840000000004</v>
      </c>
      <c r="R74" s="3">
        <f t="shared" si="11"/>
        <v>45405.3</v>
      </c>
      <c r="S74" s="3">
        <f t="shared" si="12"/>
        <v>2523.5400000000009</v>
      </c>
      <c r="T74">
        <f t="shared" si="13"/>
        <v>0</v>
      </c>
    </row>
    <row r="75" spans="1:20" x14ac:dyDescent="0.25">
      <c r="A75" t="s">
        <v>878</v>
      </c>
      <c r="B75" t="s">
        <v>790</v>
      </c>
      <c r="C75" s="1">
        <v>45212</v>
      </c>
      <c r="D75" s="1">
        <f>IF(E75="",C75+VLOOKUP(B75,Lembar2!$B$19:$C$24,2,FALSE),'Procurement Dataset'!E75)</f>
        <v>45227</v>
      </c>
      <c r="E75" s="1">
        <v>45227</v>
      </c>
      <c r="F75" t="s">
        <v>817</v>
      </c>
      <c r="G75" t="s">
        <v>796</v>
      </c>
      <c r="H75" s="5">
        <v>947</v>
      </c>
      <c r="I75" s="3">
        <v>56.25</v>
      </c>
      <c r="J75" s="3">
        <v>54.25</v>
      </c>
      <c r="K75" s="5">
        <f t="shared" si="8"/>
        <v>19</v>
      </c>
      <c r="L75">
        <v>19</v>
      </c>
      <c r="M75" t="s">
        <v>793</v>
      </c>
      <c r="N75">
        <f t="shared" si="7"/>
        <v>15</v>
      </c>
      <c r="O75" t="str">
        <f t="shared" si="9"/>
        <v>Valid</v>
      </c>
      <c r="P75" s="1" t="str">
        <f>IF(N75&gt;=(VLOOKUP(B75,Lembar2!$B$19:$C$24,2,FALSE)+7),"Delayed","Ontime")</f>
        <v>Ontime</v>
      </c>
      <c r="Q75" s="3">
        <f t="shared" si="10"/>
        <v>53268.75</v>
      </c>
      <c r="R75" s="3">
        <f t="shared" si="11"/>
        <v>51374.75</v>
      </c>
      <c r="S75" s="3">
        <f t="shared" si="12"/>
        <v>1894</v>
      </c>
      <c r="T75">
        <f t="shared" si="13"/>
        <v>1</v>
      </c>
    </row>
    <row r="76" spans="1:20" x14ac:dyDescent="0.25">
      <c r="A76" t="s">
        <v>879</v>
      </c>
      <c r="B76" t="s">
        <v>807</v>
      </c>
      <c r="C76" s="1">
        <v>44935</v>
      </c>
      <c r="D76" s="1">
        <f>IF(E76="",C76+VLOOKUP(B76,Lembar2!$B$19:$C$24,2,FALSE),'Procurement Dataset'!E76)</f>
        <v>44954</v>
      </c>
      <c r="E76" s="1">
        <v>44954</v>
      </c>
      <c r="F76" t="s">
        <v>804</v>
      </c>
      <c r="G76" t="s">
        <v>796</v>
      </c>
      <c r="H76" s="5">
        <v>1413</v>
      </c>
      <c r="I76" s="3">
        <v>70.47</v>
      </c>
      <c r="J76" s="3">
        <v>69.650000000000006</v>
      </c>
      <c r="K76" s="5">
        <f t="shared" si="8"/>
        <v>0</v>
      </c>
      <c r="M76" t="s">
        <v>793</v>
      </c>
      <c r="N76">
        <f t="shared" si="7"/>
        <v>19</v>
      </c>
      <c r="O76" t="str">
        <f t="shared" si="9"/>
        <v>Valid</v>
      </c>
      <c r="P76" s="1" t="str">
        <f>IF(N76&gt;=(VLOOKUP(B76,Lembar2!$B$19:$C$24,2,FALSE)+7),"Delayed","Ontime")</f>
        <v>Delayed</v>
      </c>
      <c r="Q76" s="3">
        <f t="shared" si="10"/>
        <v>99574.11</v>
      </c>
      <c r="R76" s="3">
        <f t="shared" si="11"/>
        <v>98415.450000000012</v>
      </c>
      <c r="S76" s="3">
        <f t="shared" si="12"/>
        <v>1158.6599999999889</v>
      </c>
      <c r="T76">
        <f t="shared" si="13"/>
        <v>0</v>
      </c>
    </row>
    <row r="77" spans="1:20" x14ac:dyDescent="0.25">
      <c r="A77" t="s">
        <v>880</v>
      </c>
      <c r="B77" t="s">
        <v>790</v>
      </c>
      <c r="C77" s="1">
        <v>44728</v>
      </c>
      <c r="D77" s="1">
        <f>IF(E77="",C77+VLOOKUP(B77,Lembar2!$B$19:$C$24,2,FALSE),'Procurement Dataset'!E77)</f>
        <v>44739</v>
      </c>
      <c r="F77" t="s">
        <v>791</v>
      </c>
      <c r="G77" t="s">
        <v>811</v>
      </c>
      <c r="H77" s="5">
        <v>141</v>
      </c>
      <c r="I77" s="3">
        <v>64.150000000000006</v>
      </c>
      <c r="J77" s="3">
        <v>58.32</v>
      </c>
      <c r="K77" s="5">
        <f t="shared" si="8"/>
        <v>0</v>
      </c>
      <c r="M77" t="s">
        <v>793</v>
      </c>
      <c r="N77" t="str">
        <f t="shared" si="7"/>
        <v/>
      </c>
      <c r="O77" t="str">
        <f t="shared" si="9"/>
        <v>Valid</v>
      </c>
      <c r="P77" s="1" t="str">
        <f>IF(N77&gt;=(VLOOKUP(B77,Lembar2!$B$19:$C$24,2,FALSE)+7),"Delayed","Ontime")</f>
        <v>Delayed</v>
      </c>
      <c r="Q77" s="3">
        <f t="shared" si="10"/>
        <v>9045.1500000000015</v>
      </c>
      <c r="R77" s="3">
        <f t="shared" si="11"/>
        <v>8223.1200000000008</v>
      </c>
      <c r="S77" s="3">
        <f t="shared" si="12"/>
        <v>822.03000000000065</v>
      </c>
      <c r="T77">
        <f t="shared" si="13"/>
        <v>0</v>
      </c>
    </row>
    <row r="78" spans="1:20" x14ac:dyDescent="0.25">
      <c r="A78" t="s">
        <v>881</v>
      </c>
      <c r="B78" t="s">
        <v>790</v>
      </c>
      <c r="C78" s="1">
        <v>44941</v>
      </c>
      <c r="D78" s="1">
        <f>IF(E78="",C78+VLOOKUP(B78,Lembar2!$B$19:$C$24,2,FALSE),'Procurement Dataset'!E78)</f>
        <v>44961</v>
      </c>
      <c r="E78" s="1">
        <v>44961</v>
      </c>
      <c r="F78" t="s">
        <v>791</v>
      </c>
      <c r="G78" t="s">
        <v>796</v>
      </c>
      <c r="H78" s="5">
        <v>1440</v>
      </c>
      <c r="I78" s="3">
        <v>96.57</v>
      </c>
      <c r="J78" s="3">
        <v>83.87</v>
      </c>
      <c r="K78" s="5">
        <f t="shared" si="8"/>
        <v>36</v>
      </c>
      <c r="L78">
        <v>36</v>
      </c>
      <c r="M78" t="s">
        <v>793</v>
      </c>
      <c r="N78">
        <f t="shared" si="7"/>
        <v>20</v>
      </c>
      <c r="O78" t="str">
        <f t="shared" si="9"/>
        <v>Valid</v>
      </c>
      <c r="P78" s="1" t="str">
        <f>IF(N78&gt;=(VLOOKUP(B78,Lembar2!$B$19:$C$24,2,FALSE)+7),"Delayed","Ontime")</f>
        <v>Delayed</v>
      </c>
      <c r="Q78" s="3">
        <f t="shared" si="10"/>
        <v>139060.79999999999</v>
      </c>
      <c r="R78" s="3">
        <f t="shared" si="11"/>
        <v>120772.8</v>
      </c>
      <c r="S78" s="3">
        <f t="shared" si="12"/>
        <v>18287.999999999985</v>
      </c>
      <c r="T78">
        <f t="shared" si="13"/>
        <v>0</v>
      </c>
    </row>
    <row r="79" spans="1:20" x14ac:dyDescent="0.25">
      <c r="A79" t="s">
        <v>882</v>
      </c>
      <c r="B79" t="s">
        <v>795</v>
      </c>
      <c r="C79" s="1">
        <v>44925</v>
      </c>
      <c r="D79" s="1">
        <f>IF(E79="",C79+VLOOKUP(B79,Lembar2!$B$19:$C$24,2,FALSE),'Procurement Dataset'!E79)</f>
        <v>44929</v>
      </c>
      <c r="E79" s="1">
        <v>44929</v>
      </c>
      <c r="F79" t="s">
        <v>804</v>
      </c>
      <c r="G79" t="s">
        <v>796</v>
      </c>
      <c r="H79" s="5">
        <v>1005</v>
      </c>
      <c r="I79" s="3">
        <v>14.87</v>
      </c>
      <c r="J79" s="3">
        <v>12.79</v>
      </c>
      <c r="K79" s="5">
        <f t="shared" si="8"/>
        <v>0</v>
      </c>
      <c r="M79" t="s">
        <v>805</v>
      </c>
      <c r="N79">
        <f t="shared" si="7"/>
        <v>4</v>
      </c>
      <c r="O79" t="str">
        <f t="shared" si="9"/>
        <v>Valid</v>
      </c>
      <c r="P79" s="1" t="str">
        <f>IF(N79&gt;=(VLOOKUP(B79,Lembar2!$B$19:$C$24,2,FALSE)+7),"Delayed","Ontime")</f>
        <v>Ontime</v>
      </c>
      <c r="Q79" s="3">
        <f t="shared" si="10"/>
        <v>14944.349999999999</v>
      </c>
      <c r="R79" s="3">
        <f t="shared" si="11"/>
        <v>12853.949999999999</v>
      </c>
      <c r="S79" s="3">
        <f t="shared" si="12"/>
        <v>2090.3999999999996</v>
      </c>
      <c r="T79">
        <f t="shared" si="13"/>
        <v>1</v>
      </c>
    </row>
    <row r="80" spans="1:20" x14ac:dyDescent="0.25">
      <c r="A80" t="s">
        <v>883</v>
      </c>
      <c r="B80" t="s">
        <v>790</v>
      </c>
      <c r="C80" s="1">
        <v>44776</v>
      </c>
      <c r="D80" s="1">
        <f>IF(E80="",C80+VLOOKUP(B80,Lembar2!$B$19:$C$24,2,FALSE),'Procurement Dataset'!E80)</f>
        <v>44787</v>
      </c>
      <c r="F80" t="s">
        <v>799</v>
      </c>
      <c r="G80" t="s">
        <v>796</v>
      </c>
      <c r="H80" s="5">
        <v>1528</v>
      </c>
      <c r="I80" s="3">
        <v>36.520000000000003</v>
      </c>
      <c r="J80" s="3">
        <v>33</v>
      </c>
      <c r="K80" s="5">
        <f t="shared" si="8"/>
        <v>31</v>
      </c>
      <c r="L80">
        <v>31</v>
      </c>
      <c r="M80" t="s">
        <v>805</v>
      </c>
      <c r="N80" t="str">
        <f t="shared" si="7"/>
        <v/>
      </c>
      <c r="O80" t="str">
        <f t="shared" si="9"/>
        <v>Valid</v>
      </c>
      <c r="P80" s="1" t="str">
        <f>IF(N80&gt;=(VLOOKUP(B80,Lembar2!$B$19:$C$24,2,FALSE)+7),"Delayed","Ontime")</f>
        <v>Delayed</v>
      </c>
      <c r="Q80" s="3">
        <f t="shared" si="10"/>
        <v>55802.560000000005</v>
      </c>
      <c r="R80" s="3">
        <f t="shared" si="11"/>
        <v>50424</v>
      </c>
      <c r="S80" s="3">
        <f t="shared" si="12"/>
        <v>5378.5600000000049</v>
      </c>
      <c r="T80">
        <f t="shared" si="13"/>
        <v>0</v>
      </c>
    </row>
    <row r="81" spans="1:20" x14ac:dyDescent="0.25">
      <c r="A81" t="s">
        <v>884</v>
      </c>
      <c r="B81" t="s">
        <v>798</v>
      </c>
      <c r="C81" s="1">
        <v>45248</v>
      </c>
      <c r="D81" s="1">
        <f>IF(E81="",C81+VLOOKUP(B81,Lembar2!$B$19:$C$24,2,FALSE),'Procurement Dataset'!E81)</f>
        <v>45255</v>
      </c>
      <c r="E81" s="1">
        <v>45255</v>
      </c>
      <c r="F81" t="s">
        <v>799</v>
      </c>
      <c r="G81" t="s">
        <v>796</v>
      </c>
      <c r="H81" s="5">
        <v>1501</v>
      </c>
      <c r="I81" s="3">
        <v>106.05</v>
      </c>
      <c r="J81" s="3">
        <v>100.99</v>
      </c>
      <c r="K81" s="5">
        <f t="shared" si="8"/>
        <v>77</v>
      </c>
      <c r="L81">
        <v>77</v>
      </c>
      <c r="M81" t="s">
        <v>805</v>
      </c>
      <c r="N81">
        <f t="shared" si="7"/>
        <v>7</v>
      </c>
      <c r="O81" t="str">
        <f t="shared" si="9"/>
        <v>Valid</v>
      </c>
      <c r="P81" s="1" t="str">
        <f>IF(N81&gt;=(VLOOKUP(B81,Lembar2!$B$19:$C$24,2,FALSE)+7),"Delayed","Ontime")</f>
        <v>Ontime</v>
      </c>
      <c r="Q81" s="3">
        <f t="shared" si="10"/>
        <v>159181.04999999999</v>
      </c>
      <c r="R81" s="3">
        <f t="shared" si="11"/>
        <v>151585.99</v>
      </c>
      <c r="S81" s="3">
        <f t="shared" si="12"/>
        <v>7595.0599999999977</v>
      </c>
      <c r="T81">
        <f t="shared" si="13"/>
        <v>1</v>
      </c>
    </row>
    <row r="82" spans="1:20" x14ac:dyDescent="0.25">
      <c r="A82" t="s">
        <v>885</v>
      </c>
      <c r="B82" t="s">
        <v>795</v>
      </c>
      <c r="C82" s="1">
        <v>44835</v>
      </c>
      <c r="D82" s="1">
        <f>IF(E82="",C82+VLOOKUP(B82,Lembar2!$B$19:$C$24,2,FALSE),'Procurement Dataset'!E82)</f>
        <v>44838</v>
      </c>
      <c r="E82" s="1">
        <v>44838</v>
      </c>
      <c r="F82" t="s">
        <v>802</v>
      </c>
      <c r="G82" t="s">
        <v>796</v>
      </c>
      <c r="H82" s="5">
        <v>558</v>
      </c>
      <c r="I82" s="3">
        <v>94.18</v>
      </c>
      <c r="J82" s="3">
        <v>81.400000000000006</v>
      </c>
      <c r="K82" s="5">
        <f t="shared" si="8"/>
        <v>0</v>
      </c>
      <c r="M82" t="s">
        <v>805</v>
      </c>
      <c r="N82">
        <f t="shared" si="7"/>
        <v>3</v>
      </c>
      <c r="O82" t="str">
        <f t="shared" si="9"/>
        <v>Valid</v>
      </c>
      <c r="P82" s="1" t="str">
        <f>IF(N82&gt;=(VLOOKUP(B82,Lembar2!$B$19:$C$24,2,FALSE)+7),"Delayed","Ontime")</f>
        <v>Ontime</v>
      </c>
      <c r="Q82" s="3">
        <f t="shared" si="10"/>
        <v>52552.44</v>
      </c>
      <c r="R82" s="3">
        <f t="shared" si="11"/>
        <v>45421.200000000004</v>
      </c>
      <c r="S82" s="3">
        <f t="shared" si="12"/>
        <v>7131.239999999998</v>
      </c>
      <c r="T82">
        <f t="shared" si="13"/>
        <v>1</v>
      </c>
    </row>
    <row r="83" spans="1:20" x14ac:dyDescent="0.25">
      <c r="A83" t="s">
        <v>886</v>
      </c>
      <c r="B83" t="s">
        <v>801</v>
      </c>
      <c r="C83" s="1">
        <v>45280</v>
      </c>
      <c r="D83" s="1">
        <f>IF(E83="",C83+VLOOKUP(B83,Lembar2!$B$19:$C$24,2,FALSE),'Procurement Dataset'!E83)</f>
        <v>45286</v>
      </c>
      <c r="E83" s="1">
        <v>45286</v>
      </c>
      <c r="F83" t="s">
        <v>799</v>
      </c>
      <c r="G83" t="s">
        <v>796</v>
      </c>
      <c r="H83" s="5">
        <v>825</v>
      </c>
      <c r="I83" s="3">
        <v>56.88</v>
      </c>
      <c r="J83" s="3">
        <v>50.84</v>
      </c>
      <c r="K83" s="5">
        <f t="shared" si="8"/>
        <v>0</v>
      </c>
      <c r="M83" t="s">
        <v>793</v>
      </c>
      <c r="N83">
        <f t="shared" si="7"/>
        <v>6</v>
      </c>
      <c r="O83" t="str">
        <f t="shared" si="9"/>
        <v>Valid</v>
      </c>
      <c r="P83" s="1" t="str">
        <f>IF(N83&gt;=(VLOOKUP(B83,Lembar2!$B$19:$C$24,2,FALSE)+7),"Delayed","Ontime")</f>
        <v>Ontime</v>
      </c>
      <c r="Q83" s="3">
        <f t="shared" si="10"/>
        <v>46926</v>
      </c>
      <c r="R83" s="3">
        <f t="shared" si="11"/>
        <v>41943</v>
      </c>
      <c r="S83" s="3">
        <f t="shared" si="12"/>
        <v>4983</v>
      </c>
      <c r="T83">
        <f t="shared" si="13"/>
        <v>1</v>
      </c>
    </row>
    <row r="84" spans="1:20" x14ac:dyDescent="0.25">
      <c r="A84" t="s">
        <v>887</v>
      </c>
      <c r="B84" t="s">
        <v>801</v>
      </c>
      <c r="C84" s="1">
        <v>45261</v>
      </c>
      <c r="D84" s="1">
        <f>IF(E84="",C84+VLOOKUP(B84,Lembar2!$B$19:$C$24,2,FALSE),'Procurement Dataset'!E84)</f>
        <v>45267</v>
      </c>
      <c r="E84" s="1">
        <v>45267</v>
      </c>
      <c r="F84" t="s">
        <v>817</v>
      </c>
      <c r="G84" t="s">
        <v>792</v>
      </c>
      <c r="H84" s="5">
        <v>84</v>
      </c>
      <c r="I84" s="3">
        <v>73.38</v>
      </c>
      <c r="J84" s="3">
        <v>71.42</v>
      </c>
      <c r="K84" s="5">
        <f t="shared" si="8"/>
        <v>9</v>
      </c>
      <c r="L84">
        <v>9</v>
      </c>
      <c r="M84" t="s">
        <v>793</v>
      </c>
      <c r="N84">
        <f t="shared" si="7"/>
        <v>6</v>
      </c>
      <c r="O84" t="str">
        <f t="shared" si="9"/>
        <v>Valid</v>
      </c>
      <c r="P84" s="1" t="str">
        <f>IF(N84&gt;=(VLOOKUP(B84,Lembar2!$B$19:$C$24,2,FALSE)+7),"Delayed","Ontime")</f>
        <v>Ontime</v>
      </c>
      <c r="Q84" s="3">
        <f t="shared" si="10"/>
        <v>6163.92</v>
      </c>
      <c r="R84" s="3">
        <f t="shared" si="11"/>
        <v>5999.28</v>
      </c>
      <c r="S84" s="3">
        <f t="shared" si="12"/>
        <v>164.64000000000033</v>
      </c>
      <c r="T84">
        <f t="shared" si="13"/>
        <v>1</v>
      </c>
    </row>
    <row r="85" spans="1:20" x14ac:dyDescent="0.25">
      <c r="A85" t="s">
        <v>888</v>
      </c>
      <c r="B85" t="s">
        <v>795</v>
      </c>
      <c r="C85" s="1">
        <v>45225</v>
      </c>
      <c r="D85" s="1">
        <f>IF(E85="",C85+VLOOKUP(B85,Lembar2!$B$19:$C$24,2,FALSE),'Procurement Dataset'!E85)</f>
        <v>45240</v>
      </c>
      <c r="E85" s="1">
        <v>45240</v>
      </c>
      <c r="F85" t="s">
        <v>804</v>
      </c>
      <c r="G85" t="s">
        <v>796</v>
      </c>
      <c r="H85" s="5">
        <v>255</v>
      </c>
      <c r="I85" s="3">
        <v>38.64</v>
      </c>
      <c r="J85" s="3">
        <v>33.590000000000003</v>
      </c>
      <c r="K85" s="5">
        <f t="shared" si="8"/>
        <v>27</v>
      </c>
      <c r="L85">
        <v>27</v>
      </c>
      <c r="M85" t="s">
        <v>805</v>
      </c>
      <c r="N85">
        <f t="shared" si="7"/>
        <v>15</v>
      </c>
      <c r="O85" t="str">
        <f t="shared" si="9"/>
        <v>Valid</v>
      </c>
      <c r="P85" s="1" t="str">
        <f>IF(N85&gt;=(VLOOKUP(B85,Lembar2!$B$19:$C$24,2,FALSE)+7),"Delayed","Ontime")</f>
        <v>Ontime</v>
      </c>
      <c r="Q85" s="3">
        <f t="shared" si="10"/>
        <v>9853.2000000000007</v>
      </c>
      <c r="R85" s="3">
        <f t="shared" si="11"/>
        <v>8565.4500000000007</v>
      </c>
      <c r="S85" s="3">
        <f t="shared" si="12"/>
        <v>1287.75</v>
      </c>
      <c r="T85">
        <f t="shared" si="13"/>
        <v>1</v>
      </c>
    </row>
    <row r="86" spans="1:20" x14ac:dyDescent="0.25">
      <c r="A86" t="s">
        <v>889</v>
      </c>
      <c r="B86" t="s">
        <v>798</v>
      </c>
      <c r="C86" s="1">
        <v>44635</v>
      </c>
      <c r="D86" s="1">
        <f>IF(E86="",C86+VLOOKUP(B86,Lembar2!$B$19:$C$24,2,FALSE),'Procurement Dataset'!E86)</f>
        <v>44651</v>
      </c>
      <c r="E86" s="1">
        <v>44651</v>
      </c>
      <c r="F86" t="s">
        <v>799</v>
      </c>
      <c r="G86" t="s">
        <v>796</v>
      </c>
      <c r="H86" s="5">
        <v>1154</v>
      </c>
      <c r="I86" s="3">
        <v>27.2</v>
      </c>
      <c r="J86" s="3">
        <v>26.07</v>
      </c>
      <c r="K86" s="5">
        <f t="shared" si="8"/>
        <v>58</v>
      </c>
      <c r="L86">
        <v>58</v>
      </c>
      <c r="M86" t="s">
        <v>793</v>
      </c>
      <c r="N86">
        <f t="shared" si="7"/>
        <v>16</v>
      </c>
      <c r="O86" t="str">
        <f t="shared" si="9"/>
        <v>Valid</v>
      </c>
      <c r="P86" s="1" t="str">
        <f>IF(N86&gt;=(VLOOKUP(B86,Lembar2!$B$19:$C$24,2,FALSE)+7),"Delayed","Ontime")</f>
        <v>Ontime</v>
      </c>
      <c r="Q86" s="3">
        <f t="shared" si="10"/>
        <v>31388.799999999999</v>
      </c>
      <c r="R86" s="3">
        <f t="shared" si="11"/>
        <v>30084.78</v>
      </c>
      <c r="S86" s="3">
        <f t="shared" si="12"/>
        <v>1304.0200000000004</v>
      </c>
      <c r="T86">
        <f t="shared" si="13"/>
        <v>1</v>
      </c>
    </row>
    <row r="87" spans="1:20" x14ac:dyDescent="0.25">
      <c r="A87" t="s">
        <v>890</v>
      </c>
      <c r="B87" t="s">
        <v>795</v>
      </c>
      <c r="C87" s="1">
        <v>45185</v>
      </c>
      <c r="D87" s="1">
        <f>IF(E87="",C87+VLOOKUP(B87,Lembar2!$B$19:$C$24,2,FALSE),'Procurement Dataset'!E87)</f>
        <v>45193</v>
      </c>
      <c r="E87" s="1">
        <v>45193</v>
      </c>
      <c r="F87" t="s">
        <v>791</v>
      </c>
      <c r="G87" t="s">
        <v>796</v>
      </c>
      <c r="H87" s="5">
        <v>1635</v>
      </c>
      <c r="I87" s="3">
        <v>56.91</v>
      </c>
      <c r="J87" s="3">
        <v>54.37</v>
      </c>
      <c r="K87" s="5">
        <f t="shared" si="8"/>
        <v>262</v>
      </c>
      <c r="L87">
        <v>262</v>
      </c>
      <c r="M87" t="s">
        <v>805</v>
      </c>
      <c r="N87">
        <f t="shared" si="7"/>
        <v>8</v>
      </c>
      <c r="O87" t="str">
        <f t="shared" si="9"/>
        <v>Valid</v>
      </c>
      <c r="P87" s="1" t="str">
        <f>IF(N87&gt;=(VLOOKUP(B87,Lembar2!$B$19:$C$24,2,FALSE)+7),"Delayed","Ontime")</f>
        <v>Ontime</v>
      </c>
      <c r="Q87" s="3">
        <f t="shared" si="10"/>
        <v>93047.849999999991</v>
      </c>
      <c r="R87" s="3">
        <f t="shared" si="11"/>
        <v>88894.95</v>
      </c>
      <c r="S87" s="3">
        <f t="shared" si="12"/>
        <v>4152.8999999999942</v>
      </c>
      <c r="T87">
        <f t="shared" si="13"/>
        <v>1</v>
      </c>
    </row>
    <row r="88" spans="1:20" x14ac:dyDescent="0.25">
      <c r="A88" t="s">
        <v>891</v>
      </c>
      <c r="B88" t="s">
        <v>795</v>
      </c>
      <c r="C88" s="1">
        <v>45212</v>
      </c>
      <c r="D88" s="1">
        <f>IF(E88="",C88+VLOOKUP(B88,Lembar2!$B$19:$C$24,2,FALSE),'Procurement Dataset'!E88)</f>
        <v>45222</v>
      </c>
      <c r="E88" s="1">
        <v>45222</v>
      </c>
      <c r="F88" t="s">
        <v>804</v>
      </c>
      <c r="G88" t="s">
        <v>796</v>
      </c>
      <c r="H88" s="5">
        <v>1945</v>
      </c>
      <c r="I88" s="3">
        <v>46.19</v>
      </c>
      <c r="J88" s="3">
        <v>40.119999999999997</v>
      </c>
      <c r="K88" s="5">
        <f t="shared" si="8"/>
        <v>278</v>
      </c>
      <c r="L88">
        <v>278</v>
      </c>
      <c r="M88" t="s">
        <v>805</v>
      </c>
      <c r="N88">
        <f t="shared" si="7"/>
        <v>10</v>
      </c>
      <c r="O88" t="str">
        <f t="shared" si="9"/>
        <v>Valid</v>
      </c>
      <c r="P88" s="1" t="str">
        <f>IF(N88&gt;=(VLOOKUP(B88,Lembar2!$B$19:$C$24,2,FALSE)+7),"Delayed","Ontime")</f>
        <v>Ontime</v>
      </c>
      <c r="Q88" s="3">
        <f t="shared" si="10"/>
        <v>89839.549999999988</v>
      </c>
      <c r="R88" s="3">
        <f t="shared" si="11"/>
        <v>78033.399999999994</v>
      </c>
      <c r="S88" s="3">
        <f t="shared" si="12"/>
        <v>11806.149999999994</v>
      </c>
      <c r="T88">
        <f t="shared" si="13"/>
        <v>1</v>
      </c>
    </row>
    <row r="89" spans="1:20" x14ac:dyDescent="0.25">
      <c r="A89" t="s">
        <v>892</v>
      </c>
      <c r="B89" t="s">
        <v>795</v>
      </c>
      <c r="C89" s="1">
        <v>44737</v>
      </c>
      <c r="D89" s="1">
        <f>IF(E89="",C89+VLOOKUP(B89,Lembar2!$B$19:$C$24,2,FALSE),'Procurement Dataset'!E89)</f>
        <v>44752</v>
      </c>
      <c r="E89" s="1">
        <v>44752</v>
      </c>
      <c r="F89" t="s">
        <v>799</v>
      </c>
      <c r="G89" t="s">
        <v>811</v>
      </c>
      <c r="H89" s="5">
        <v>1461</v>
      </c>
      <c r="I89" s="3">
        <v>64.09</v>
      </c>
      <c r="J89" s="3">
        <v>63.39</v>
      </c>
      <c r="K89" s="5">
        <f t="shared" si="8"/>
        <v>228</v>
      </c>
      <c r="L89">
        <v>228</v>
      </c>
      <c r="M89" t="s">
        <v>805</v>
      </c>
      <c r="N89">
        <f t="shared" si="7"/>
        <v>15</v>
      </c>
      <c r="O89" t="str">
        <f t="shared" si="9"/>
        <v>Valid</v>
      </c>
      <c r="P89" s="1" t="str">
        <f>IF(N89&gt;=(VLOOKUP(B89,Lembar2!$B$19:$C$24,2,FALSE)+7),"Delayed","Ontime")</f>
        <v>Ontime</v>
      </c>
      <c r="Q89" s="3">
        <f t="shared" si="10"/>
        <v>93635.49</v>
      </c>
      <c r="R89" s="3">
        <f t="shared" si="11"/>
        <v>92612.79</v>
      </c>
      <c r="S89" s="3">
        <f t="shared" si="12"/>
        <v>1022.7000000000116</v>
      </c>
      <c r="T89">
        <f t="shared" si="13"/>
        <v>1</v>
      </c>
    </row>
    <row r="90" spans="1:20" x14ac:dyDescent="0.25">
      <c r="A90" t="s">
        <v>893</v>
      </c>
      <c r="B90" t="s">
        <v>795</v>
      </c>
      <c r="C90" s="1">
        <v>45108</v>
      </c>
      <c r="D90" s="1">
        <f>IF(E90="",C90+VLOOKUP(B90,Lembar2!$B$19:$C$24,2,FALSE),'Procurement Dataset'!E90)</f>
        <v>45116</v>
      </c>
      <c r="E90" s="1">
        <v>45116</v>
      </c>
      <c r="F90" t="s">
        <v>817</v>
      </c>
      <c r="G90" t="s">
        <v>796</v>
      </c>
      <c r="H90" s="5">
        <v>1075</v>
      </c>
      <c r="I90" s="3">
        <v>18.53</v>
      </c>
      <c r="J90" s="3">
        <v>16.12</v>
      </c>
      <c r="K90" s="5">
        <f t="shared" si="8"/>
        <v>147</v>
      </c>
      <c r="L90">
        <v>147</v>
      </c>
      <c r="M90" t="s">
        <v>793</v>
      </c>
      <c r="N90">
        <f t="shared" si="7"/>
        <v>8</v>
      </c>
      <c r="O90" t="str">
        <f t="shared" si="9"/>
        <v>Valid</v>
      </c>
      <c r="P90" s="1" t="str">
        <f>IF(N90&gt;=(VLOOKUP(B90,Lembar2!$B$19:$C$24,2,FALSE)+7),"Delayed","Ontime")</f>
        <v>Ontime</v>
      </c>
      <c r="Q90" s="3">
        <f t="shared" si="10"/>
        <v>19919.75</v>
      </c>
      <c r="R90" s="3">
        <f t="shared" si="11"/>
        <v>17329</v>
      </c>
      <c r="S90" s="3">
        <f t="shared" si="12"/>
        <v>2590.75</v>
      </c>
      <c r="T90">
        <f t="shared" si="13"/>
        <v>1</v>
      </c>
    </row>
    <row r="91" spans="1:20" x14ac:dyDescent="0.25">
      <c r="A91" t="s">
        <v>894</v>
      </c>
      <c r="B91" t="s">
        <v>790</v>
      </c>
      <c r="C91" s="1">
        <v>44812</v>
      </c>
      <c r="D91" s="1">
        <f>IF(E91="",C91+VLOOKUP(B91,Lembar2!$B$19:$C$24,2,FALSE),'Procurement Dataset'!E91)</f>
        <v>44823</v>
      </c>
      <c r="F91" t="s">
        <v>802</v>
      </c>
      <c r="G91" t="s">
        <v>796</v>
      </c>
      <c r="H91" s="5">
        <v>1071</v>
      </c>
      <c r="I91" s="3">
        <v>101.6</v>
      </c>
      <c r="J91" s="3">
        <v>93.91</v>
      </c>
      <c r="K91" s="5">
        <f t="shared" si="8"/>
        <v>25</v>
      </c>
      <c r="L91">
        <v>25</v>
      </c>
      <c r="M91" t="s">
        <v>793</v>
      </c>
      <c r="N91" t="str">
        <f t="shared" si="7"/>
        <v/>
      </c>
      <c r="O91" t="str">
        <f t="shared" si="9"/>
        <v>Valid</v>
      </c>
      <c r="P91" s="1" t="str">
        <f>IF(N91&gt;=(VLOOKUP(B91,Lembar2!$B$19:$C$24,2,FALSE)+7),"Delayed","Ontime")</f>
        <v>Delayed</v>
      </c>
      <c r="Q91" s="3">
        <f t="shared" si="10"/>
        <v>108813.59999999999</v>
      </c>
      <c r="R91" s="3">
        <f t="shared" si="11"/>
        <v>100577.61</v>
      </c>
      <c r="S91" s="3">
        <f t="shared" si="12"/>
        <v>8235.9899999999907</v>
      </c>
      <c r="T91">
        <f t="shared" si="13"/>
        <v>0</v>
      </c>
    </row>
    <row r="92" spans="1:20" x14ac:dyDescent="0.25">
      <c r="A92" t="s">
        <v>895</v>
      </c>
      <c r="B92" t="s">
        <v>807</v>
      </c>
      <c r="C92" s="1">
        <v>44729</v>
      </c>
      <c r="D92" s="1">
        <f>IF(E92="",C92+VLOOKUP(B92,Lembar2!$B$19:$C$24,2,FALSE),'Procurement Dataset'!E92)</f>
        <v>44748</v>
      </c>
      <c r="E92" s="1">
        <v>44748</v>
      </c>
      <c r="F92" t="s">
        <v>802</v>
      </c>
      <c r="G92" t="s">
        <v>813</v>
      </c>
      <c r="H92" s="5">
        <v>1463</v>
      </c>
      <c r="I92" s="3">
        <v>101.23</v>
      </c>
      <c r="J92" s="3">
        <v>86.17</v>
      </c>
      <c r="K92" s="5">
        <f t="shared" si="8"/>
        <v>43</v>
      </c>
      <c r="L92">
        <v>43</v>
      </c>
      <c r="M92" t="s">
        <v>793</v>
      </c>
      <c r="N92">
        <f t="shared" si="7"/>
        <v>19</v>
      </c>
      <c r="O92" t="str">
        <f t="shared" si="9"/>
        <v>Valid</v>
      </c>
      <c r="P92" s="1" t="str">
        <f>IF(N92&gt;=(VLOOKUP(B92,Lembar2!$B$19:$C$24,2,FALSE)+7),"Delayed","Ontime")</f>
        <v>Delayed</v>
      </c>
      <c r="Q92" s="3">
        <f t="shared" si="10"/>
        <v>148099.49000000002</v>
      </c>
      <c r="R92" s="3">
        <f t="shared" si="11"/>
        <v>126066.71</v>
      </c>
      <c r="S92" s="3">
        <f t="shared" si="12"/>
        <v>22032.780000000013</v>
      </c>
      <c r="T92">
        <f t="shared" si="13"/>
        <v>0</v>
      </c>
    </row>
    <row r="93" spans="1:20" x14ac:dyDescent="0.25">
      <c r="A93" t="s">
        <v>896</v>
      </c>
      <c r="B93" t="s">
        <v>801</v>
      </c>
      <c r="C93" s="1">
        <v>45035</v>
      </c>
      <c r="D93" s="1">
        <f>IF(E93="",C93+VLOOKUP(B93,Lembar2!$B$19:$C$24,2,FALSE),'Procurement Dataset'!E93)</f>
        <v>45042</v>
      </c>
      <c r="E93" s="1">
        <v>45042</v>
      </c>
      <c r="F93" t="s">
        <v>804</v>
      </c>
      <c r="G93" t="s">
        <v>796</v>
      </c>
      <c r="H93" s="5">
        <v>615</v>
      </c>
      <c r="I93" s="3">
        <v>78.3</v>
      </c>
      <c r="J93" s="3">
        <v>73.680000000000007</v>
      </c>
      <c r="K93" s="5">
        <f t="shared" si="8"/>
        <v>69</v>
      </c>
      <c r="L93">
        <v>69</v>
      </c>
      <c r="M93" t="s">
        <v>793</v>
      </c>
      <c r="N93">
        <f t="shared" si="7"/>
        <v>7</v>
      </c>
      <c r="O93" t="str">
        <f t="shared" si="9"/>
        <v>Valid</v>
      </c>
      <c r="P93" s="1" t="str">
        <f>IF(N93&gt;=(VLOOKUP(B93,Lembar2!$B$19:$C$24,2,FALSE)+7),"Delayed","Ontime")</f>
        <v>Ontime</v>
      </c>
      <c r="Q93" s="3">
        <f t="shared" si="10"/>
        <v>48154.5</v>
      </c>
      <c r="R93" s="3">
        <f t="shared" si="11"/>
        <v>45313.200000000004</v>
      </c>
      <c r="S93" s="3">
        <f t="shared" si="12"/>
        <v>2841.2999999999956</v>
      </c>
      <c r="T93">
        <f t="shared" si="13"/>
        <v>1</v>
      </c>
    </row>
    <row r="94" spans="1:20" x14ac:dyDescent="0.25">
      <c r="A94" t="s">
        <v>897</v>
      </c>
      <c r="B94" t="s">
        <v>798</v>
      </c>
      <c r="C94" s="1">
        <v>44950</v>
      </c>
      <c r="D94" s="1">
        <f>IF(E94="",C94+VLOOKUP(B94,Lembar2!$B$19:$C$24,2,FALSE),'Procurement Dataset'!E94)</f>
        <v>44968</v>
      </c>
      <c r="E94" s="1">
        <v>44968</v>
      </c>
      <c r="F94" t="s">
        <v>817</v>
      </c>
      <c r="G94" t="s">
        <v>796</v>
      </c>
      <c r="H94" s="5">
        <v>1179</v>
      </c>
      <c r="I94" s="3">
        <v>61.74</v>
      </c>
      <c r="J94" s="3">
        <v>56.28</v>
      </c>
      <c r="K94" s="5">
        <f t="shared" si="8"/>
        <v>0</v>
      </c>
      <c r="M94" t="s">
        <v>793</v>
      </c>
      <c r="N94">
        <f t="shared" si="7"/>
        <v>18</v>
      </c>
      <c r="O94" t="str">
        <f t="shared" si="9"/>
        <v>Valid</v>
      </c>
      <c r="P94" s="1" t="str">
        <f>IF(N94&gt;=(VLOOKUP(B94,Lembar2!$B$19:$C$24,2,FALSE)+7),"Delayed","Ontime")</f>
        <v>Delayed</v>
      </c>
      <c r="Q94" s="3">
        <f t="shared" si="10"/>
        <v>72791.460000000006</v>
      </c>
      <c r="R94" s="3">
        <f t="shared" si="11"/>
        <v>66354.12</v>
      </c>
      <c r="S94" s="3">
        <f t="shared" si="12"/>
        <v>6437.3400000000111</v>
      </c>
      <c r="T94">
        <f t="shared" si="13"/>
        <v>0</v>
      </c>
    </row>
    <row r="95" spans="1:20" x14ac:dyDescent="0.25">
      <c r="A95" t="s">
        <v>898</v>
      </c>
      <c r="B95" t="s">
        <v>790</v>
      </c>
      <c r="C95" s="1">
        <v>44838</v>
      </c>
      <c r="D95" s="1">
        <f>IF(E95="",C95+VLOOKUP(B95,Lembar2!$B$19:$C$24,2,FALSE),'Procurement Dataset'!E95)</f>
        <v>44843</v>
      </c>
      <c r="E95" s="1">
        <v>44843</v>
      </c>
      <c r="F95" t="s">
        <v>817</v>
      </c>
      <c r="G95" t="s">
        <v>811</v>
      </c>
      <c r="H95" s="5">
        <v>1845</v>
      </c>
      <c r="I95" s="3">
        <v>39.56</v>
      </c>
      <c r="J95" s="3">
        <v>37.630000000000003</v>
      </c>
      <c r="K95" s="5">
        <f t="shared" si="8"/>
        <v>45</v>
      </c>
      <c r="L95">
        <v>45</v>
      </c>
      <c r="M95" t="s">
        <v>793</v>
      </c>
      <c r="N95">
        <f t="shared" si="7"/>
        <v>5</v>
      </c>
      <c r="O95" t="str">
        <f t="shared" si="9"/>
        <v>Valid</v>
      </c>
      <c r="P95" s="1" t="str">
        <f>IF(N95&gt;=(VLOOKUP(B95,Lembar2!$B$19:$C$24,2,FALSE)+7),"Delayed","Ontime")</f>
        <v>Ontime</v>
      </c>
      <c r="Q95" s="3">
        <f t="shared" si="10"/>
        <v>72988.2</v>
      </c>
      <c r="R95" s="3">
        <f t="shared" si="11"/>
        <v>69427.350000000006</v>
      </c>
      <c r="S95" s="3">
        <f t="shared" si="12"/>
        <v>3560.8499999999913</v>
      </c>
      <c r="T95">
        <f t="shared" si="13"/>
        <v>1</v>
      </c>
    </row>
    <row r="96" spans="1:20" x14ac:dyDescent="0.25">
      <c r="A96" t="s">
        <v>899</v>
      </c>
      <c r="B96" t="s">
        <v>801</v>
      </c>
      <c r="C96" s="1">
        <v>45217</v>
      </c>
      <c r="D96" s="1">
        <f>IF(E96="",C96+VLOOKUP(B96,Lembar2!$B$19:$C$24,2,FALSE),'Procurement Dataset'!E96)</f>
        <v>45229</v>
      </c>
      <c r="F96" t="s">
        <v>817</v>
      </c>
      <c r="G96" t="s">
        <v>792</v>
      </c>
      <c r="H96" s="5">
        <v>1895</v>
      </c>
      <c r="I96" s="3">
        <v>91.98</v>
      </c>
      <c r="J96" s="3">
        <v>86.27</v>
      </c>
      <c r="K96" s="5">
        <f t="shared" si="8"/>
        <v>170</v>
      </c>
      <c r="L96">
        <v>170</v>
      </c>
      <c r="M96" t="s">
        <v>793</v>
      </c>
      <c r="N96" t="str">
        <f t="shared" si="7"/>
        <v/>
      </c>
      <c r="O96" t="str">
        <f t="shared" si="9"/>
        <v>Valid</v>
      </c>
      <c r="P96" s="1" t="str">
        <f>IF(N96&gt;=(VLOOKUP(B96,Lembar2!$B$19:$C$24,2,FALSE)+7),"Delayed","Ontime")</f>
        <v>Delayed</v>
      </c>
      <c r="Q96" s="3">
        <f t="shared" si="10"/>
        <v>174302.1</v>
      </c>
      <c r="R96" s="3">
        <f t="shared" si="11"/>
        <v>163481.65</v>
      </c>
      <c r="S96" s="3">
        <f t="shared" si="12"/>
        <v>10820.450000000012</v>
      </c>
      <c r="T96">
        <f t="shared" si="13"/>
        <v>0</v>
      </c>
    </row>
    <row r="97" spans="1:20" x14ac:dyDescent="0.25">
      <c r="A97" t="s">
        <v>900</v>
      </c>
      <c r="B97" t="s">
        <v>807</v>
      </c>
      <c r="C97" s="1">
        <v>45266</v>
      </c>
      <c r="D97" s="1">
        <f>IF(E97="",C97+VLOOKUP(B97,Lembar2!$B$19:$C$24,2,FALSE),'Procurement Dataset'!E97)</f>
        <v>45269</v>
      </c>
      <c r="E97" s="1">
        <v>45269</v>
      </c>
      <c r="F97" t="s">
        <v>799</v>
      </c>
      <c r="G97" t="s">
        <v>811</v>
      </c>
      <c r="H97" s="5">
        <v>1550</v>
      </c>
      <c r="I97" s="3">
        <v>79.86</v>
      </c>
      <c r="J97" s="3">
        <v>69.569999999999993</v>
      </c>
      <c r="K97" s="5">
        <f t="shared" si="8"/>
        <v>32</v>
      </c>
      <c r="L97">
        <v>32</v>
      </c>
      <c r="M97" t="s">
        <v>805</v>
      </c>
      <c r="N97">
        <f t="shared" si="7"/>
        <v>3</v>
      </c>
      <c r="O97" t="str">
        <f t="shared" si="9"/>
        <v>Valid</v>
      </c>
      <c r="P97" s="1" t="str">
        <f>IF(N97&gt;=(VLOOKUP(B97,Lembar2!$B$19:$C$24,2,FALSE)+7),"Delayed","Ontime")</f>
        <v>Ontime</v>
      </c>
      <c r="Q97" s="3">
        <f t="shared" si="10"/>
        <v>123783</v>
      </c>
      <c r="R97" s="3">
        <f t="shared" si="11"/>
        <v>107833.49999999999</v>
      </c>
      <c r="S97" s="3">
        <f t="shared" si="12"/>
        <v>15949.500000000015</v>
      </c>
      <c r="T97">
        <f t="shared" si="13"/>
        <v>1</v>
      </c>
    </row>
    <row r="98" spans="1:20" x14ac:dyDescent="0.25">
      <c r="A98" t="s">
        <v>901</v>
      </c>
      <c r="B98" t="s">
        <v>795</v>
      </c>
      <c r="C98" s="1">
        <v>45132</v>
      </c>
      <c r="D98" s="1">
        <f>IF(E98="",C98+VLOOKUP(B98,Lembar2!$B$19:$C$24,2,FALSE),'Procurement Dataset'!E98)</f>
        <v>45142</v>
      </c>
      <c r="E98" s="1">
        <v>45142</v>
      </c>
      <c r="F98" t="s">
        <v>802</v>
      </c>
      <c r="G98" t="s">
        <v>796</v>
      </c>
      <c r="H98" s="5">
        <v>752</v>
      </c>
      <c r="I98" s="3">
        <v>26.85</v>
      </c>
      <c r="J98" s="3">
        <v>24.37</v>
      </c>
      <c r="K98" s="5">
        <f t="shared" si="8"/>
        <v>0</v>
      </c>
      <c r="M98" t="s">
        <v>805</v>
      </c>
      <c r="N98">
        <f t="shared" si="7"/>
        <v>10</v>
      </c>
      <c r="O98" t="str">
        <f t="shared" si="9"/>
        <v>Valid</v>
      </c>
      <c r="P98" s="1" t="str">
        <f>IF(N98&gt;=(VLOOKUP(B98,Lembar2!$B$19:$C$24,2,FALSE)+7),"Delayed","Ontime")</f>
        <v>Ontime</v>
      </c>
      <c r="Q98" s="3">
        <f t="shared" si="10"/>
        <v>20191.2</v>
      </c>
      <c r="R98" s="3">
        <f t="shared" si="11"/>
        <v>18326.240000000002</v>
      </c>
      <c r="S98" s="3">
        <f t="shared" si="12"/>
        <v>1864.9599999999991</v>
      </c>
      <c r="T98">
        <f t="shared" si="13"/>
        <v>1</v>
      </c>
    </row>
    <row r="99" spans="1:20" x14ac:dyDescent="0.25">
      <c r="A99" t="s">
        <v>902</v>
      </c>
      <c r="B99" t="s">
        <v>807</v>
      </c>
      <c r="C99" s="1">
        <v>44786</v>
      </c>
      <c r="D99" s="1">
        <f>IF(E99="",C99+VLOOKUP(B99,Lembar2!$B$19:$C$24,2,FALSE),'Procurement Dataset'!E99)</f>
        <v>44805</v>
      </c>
      <c r="E99" s="1">
        <v>44805</v>
      </c>
      <c r="F99" t="s">
        <v>817</v>
      </c>
      <c r="G99" t="s">
        <v>796</v>
      </c>
      <c r="H99" s="5">
        <v>451</v>
      </c>
      <c r="I99" s="3">
        <v>95.2</v>
      </c>
      <c r="J99" s="3">
        <v>90.07</v>
      </c>
      <c r="K99" s="5">
        <f t="shared" si="8"/>
        <v>21</v>
      </c>
      <c r="L99">
        <v>21</v>
      </c>
      <c r="M99" t="s">
        <v>793</v>
      </c>
      <c r="N99">
        <f t="shared" si="7"/>
        <v>19</v>
      </c>
      <c r="O99" t="str">
        <f t="shared" si="9"/>
        <v>Valid</v>
      </c>
      <c r="P99" s="1" t="str">
        <f>IF(N99&gt;=(VLOOKUP(B99,Lembar2!$B$19:$C$24,2,FALSE)+7),"Delayed","Ontime")</f>
        <v>Delayed</v>
      </c>
      <c r="Q99" s="3">
        <f t="shared" si="10"/>
        <v>42935.200000000004</v>
      </c>
      <c r="R99" s="3">
        <f t="shared" si="11"/>
        <v>40621.57</v>
      </c>
      <c r="S99" s="3">
        <f t="shared" si="12"/>
        <v>2313.6300000000047</v>
      </c>
      <c r="T99">
        <f t="shared" si="13"/>
        <v>0</v>
      </c>
    </row>
    <row r="100" spans="1:20" x14ac:dyDescent="0.25">
      <c r="A100" t="s">
        <v>903</v>
      </c>
      <c r="B100" t="s">
        <v>801</v>
      </c>
      <c r="C100" s="1">
        <v>45263</v>
      </c>
      <c r="D100" s="1">
        <f>IF(E100="",C100+VLOOKUP(B100,Lembar2!$B$19:$C$24,2,FALSE),'Procurement Dataset'!E100)</f>
        <v>45275</v>
      </c>
      <c r="F100" t="s">
        <v>791</v>
      </c>
      <c r="G100" t="s">
        <v>796</v>
      </c>
      <c r="H100" s="5">
        <v>779</v>
      </c>
      <c r="I100" s="3">
        <v>93.69</v>
      </c>
      <c r="J100" s="3">
        <v>90.92</v>
      </c>
      <c r="K100" s="5">
        <f t="shared" si="8"/>
        <v>66</v>
      </c>
      <c r="L100">
        <v>66</v>
      </c>
      <c r="M100" t="s">
        <v>793</v>
      </c>
      <c r="N100" t="str">
        <f t="shared" si="7"/>
        <v/>
      </c>
      <c r="O100" t="str">
        <f t="shared" si="9"/>
        <v>Valid</v>
      </c>
      <c r="P100" s="1" t="str">
        <f>IF(N100&gt;=(VLOOKUP(B100,Lembar2!$B$19:$C$24,2,FALSE)+7),"Delayed","Ontime")</f>
        <v>Delayed</v>
      </c>
      <c r="Q100" s="3">
        <f t="shared" si="10"/>
        <v>72984.509999999995</v>
      </c>
      <c r="R100" s="3">
        <f t="shared" si="11"/>
        <v>70826.680000000008</v>
      </c>
      <c r="S100" s="3">
        <f t="shared" si="12"/>
        <v>2157.8299999999872</v>
      </c>
      <c r="T100">
        <f t="shared" si="13"/>
        <v>0</v>
      </c>
    </row>
    <row r="101" spans="1:20" x14ac:dyDescent="0.25">
      <c r="A101" t="s">
        <v>904</v>
      </c>
      <c r="B101" t="s">
        <v>801</v>
      </c>
      <c r="C101" s="1">
        <v>44894</v>
      </c>
      <c r="D101" s="1">
        <f>IF(E101="",C101+VLOOKUP(B101,Lembar2!$B$19:$C$24,2,FALSE),'Procurement Dataset'!E101)</f>
        <v>44909</v>
      </c>
      <c r="E101" s="1">
        <v>44909</v>
      </c>
      <c r="F101" t="s">
        <v>799</v>
      </c>
      <c r="G101" t="s">
        <v>813</v>
      </c>
      <c r="H101" s="5">
        <v>1629</v>
      </c>
      <c r="I101" s="3">
        <v>100.26</v>
      </c>
      <c r="J101" s="3">
        <v>86.44</v>
      </c>
      <c r="K101" s="5">
        <f t="shared" si="8"/>
        <v>187</v>
      </c>
      <c r="L101">
        <v>187</v>
      </c>
      <c r="M101" t="s">
        <v>805</v>
      </c>
      <c r="N101">
        <f t="shared" si="7"/>
        <v>15</v>
      </c>
      <c r="O101" t="str">
        <f t="shared" si="9"/>
        <v>Valid</v>
      </c>
      <c r="P101" s="1" t="str">
        <f>IF(N101&gt;=(VLOOKUP(B101,Lembar2!$B$19:$C$24,2,FALSE)+7),"Delayed","Ontime")</f>
        <v>Ontime</v>
      </c>
      <c r="Q101" s="3">
        <f t="shared" si="10"/>
        <v>163323.54</v>
      </c>
      <c r="R101" s="3">
        <f t="shared" si="11"/>
        <v>140810.76</v>
      </c>
      <c r="S101" s="3">
        <f t="shared" si="12"/>
        <v>22512.78</v>
      </c>
      <c r="T101">
        <f t="shared" si="13"/>
        <v>1</v>
      </c>
    </row>
    <row r="102" spans="1:20" x14ac:dyDescent="0.25">
      <c r="A102" t="s">
        <v>905</v>
      </c>
      <c r="B102" t="s">
        <v>790</v>
      </c>
      <c r="C102" s="1">
        <v>44619</v>
      </c>
      <c r="D102" s="1">
        <f>IF(E102="",C102+VLOOKUP(B102,Lembar2!$B$19:$C$24,2,FALSE),'Procurement Dataset'!E102)</f>
        <v>44614</v>
      </c>
      <c r="E102" s="1">
        <v>44614</v>
      </c>
      <c r="F102" t="s">
        <v>791</v>
      </c>
      <c r="G102" t="s">
        <v>796</v>
      </c>
      <c r="H102" s="5">
        <v>211</v>
      </c>
      <c r="I102" s="3">
        <v>75.69</v>
      </c>
      <c r="J102" s="3">
        <v>65.400000000000006</v>
      </c>
      <c r="K102" s="5">
        <f t="shared" si="8"/>
        <v>2</v>
      </c>
      <c r="L102">
        <v>2</v>
      </c>
      <c r="M102" t="s">
        <v>793</v>
      </c>
      <c r="N102">
        <f t="shared" si="7"/>
        <v>-5</v>
      </c>
      <c r="O102" t="str">
        <f t="shared" si="9"/>
        <v>Invalid</v>
      </c>
      <c r="P102" s="1" t="str">
        <f>IF(N102&gt;=(VLOOKUP(B102,Lembar2!$B$19:$C$24,2,FALSE)+7),"Delayed","Ontime")</f>
        <v>Ontime</v>
      </c>
      <c r="Q102" s="3">
        <f t="shared" si="10"/>
        <v>15970.59</v>
      </c>
      <c r="R102" s="3">
        <f t="shared" si="11"/>
        <v>13799.400000000001</v>
      </c>
      <c r="S102" s="3">
        <f t="shared" si="12"/>
        <v>2171.1899999999987</v>
      </c>
      <c r="T102">
        <f t="shared" si="13"/>
        <v>1</v>
      </c>
    </row>
    <row r="103" spans="1:20" x14ac:dyDescent="0.25">
      <c r="A103" t="s">
        <v>906</v>
      </c>
      <c r="B103" t="s">
        <v>790</v>
      </c>
      <c r="C103" s="1">
        <v>44796</v>
      </c>
      <c r="D103" s="1">
        <f>IF(E103="",C103+VLOOKUP(B103,Lembar2!$B$19:$C$24,2,FALSE),'Procurement Dataset'!E103)</f>
        <v>44807</v>
      </c>
      <c r="F103" t="s">
        <v>791</v>
      </c>
      <c r="G103" t="s">
        <v>796</v>
      </c>
      <c r="H103" s="5">
        <v>251</v>
      </c>
      <c r="I103" s="3">
        <v>67.489999999999995</v>
      </c>
      <c r="J103" s="3">
        <v>64.48</v>
      </c>
      <c r="K103" s="5">
        <f t="shared" si="8"/>
        <v>2</v>
      </c>
      <c r="L103">
        <v>2</v>
      </c>
      <c r="M103" t="s">
        <v>793</v>
      </c>
      <c r="N103" t="str">
        <f t="shared" si="7"/>
        <v/>
      </c>
      <c r="O103" t="str">
        <f t="shared" si="9"/>
        <v>Valid</v>
      </c>
      <c r="P103" s="1" t="str">
        <f>IF(N103&gt;=(VLOOKUP(B103,Lembar2!$B$19:$C$24,2,FALSE)+7),"Delayed","Ontime")</f>
        <v>Delayed</v>
      </c>
      <c r="Q103" s="3">
        <f t="shared" si="10"/>
        <v>16939.989999999998</v>
      </c>
      <c r="R103" s="3">
        <f t="shared" si="11"/>
        <v>16184.480000000001</v>
      </c>
      <c r="S103" s="3">
        <f t="shared" si="12"/>
        <v>755.50999999999658</v>
      </c>
      <c r="T103">
        <f t="shared" si="13"/>
        <v>0</v>
      </c>
    </row>
    <row r="104" spans="1:20" x14ac:dyDescent="0.25">
      <c r="A104" t="s">
        <v>907</v>
      </c>
      <c r="B104" t="s">
        <v>798</v>
      </c>
      <c r="C104" s="1">
        <v>44594</v>
      </c>
      <c r="D104" s="1">
        <f>IF(E104="",C104+VLOOKUP(B104,Lembar2!$B$19:$C$24,2,FALSE),'Procurement Dataset'!E104)</f>
        <v>44610</v>
      </c>
      <c r="E104" s="1">
        <v>44610</v>
      </c>
      <c r="F104" t="s">
        <v>804</v>
      </c>
      <c r="G104" t="s">
        <v>796</v>
      </c>
      <c r="H104" s="5">
        <v>1045</v>
      </c>
      <c r="I104" s="3">
        <v>47.88</v>
      </c>
      <c r="J104" s="3">
        <v>44.65</v>
      </c>
      <c r="K104" s="5">
        <f t="shared" si="8"/>
        <v>69</v>
      </c>
      <c r="L104">
        <v>69</v>
      </c>
      <c r="M104" t="s">
        <v>793</v>
      </c>
      <c r="N104">
        <f t="shared" si="7"/>
        <v>16</v>
      </c>
      <c r="O104" t="str">
        <f t="shared" si="9"/>
        <v>Valid</v>
      </c>
      <c r="P104" s="1" t="str">
        <f>IF(N104&gt;=(VLOOKUP(B104,Lembar2!$B$19:$C$24,2,FALSE)+7),"Delayed","Ontime")</f>
        <v>Ontime</v>
      </c>
      <c r="Q104" s="3">
        <f t="shared" si="10"/>
        <v>50034.600000000006</v>
      </c>
      <c r="R104" s="3">
        <f t="shared" si="11"/>
        <v>46659.25</v>
      </c>
      <c r="S104" s="3">
        <f t="shared" si="12"/>
        <v>3375.3500000000058</v>
      </c>
      <c r="T104">
        <f t="shared" si="13"/>
        <v>1</v>
      </c>
    </row>
    <row r="105" spans="1:20" x14ac:dyDescent="0.25">
      <c r="A105" t="s">
        <v>908</v>
      </c>
      <c r="B105" t="s">
        <v>795</v>
      </c>
      <c r="C105" s="1">
        <v>44885</v>
      </c>
      <c r="D105" s="1">
        <f>IF(E105="",C105+VLOOKUP(B105,Lembar2!$B$19:$C$24,2,FALSE),'Procurement Dataset'!E105)</f>
        <v>44905</v>
      </c>
      <c r="E105" s="1">
        <v>44905</v>
      </c>
      <c r="F105" t="s">
        <v>799</v>
      </c>
      <c r="G105" t="s">
        <v>796</v>
      </c>
      <c r="H105" s="5">
        <v>319</v>
      </c>
      <c r="I105" s="3">
        <v>98.64</v>
      </c>
      <c r="J105" s="3">
        <v>89.15</v>
      </c>
      <c r="K105" s="5">
        <f t="shared" si="8"/>
        <v>57</v>
      </c>
      <c r="L105">
        <v>57</v>
      </c>
      <c r="M105" t="s">
        <v>793</v>
      </c>
      <c r="N105">
        <f t="shared" si="7"/>
        <v>20</v>
      </c>
      <c r="O105" t="str">
        <f t="shared" si="9"/>
        <v>Valid</v>
      </c>
      <c r="P105" s="1" t="str">
        <f>IF(N105&gt;=(VLOOKUP(B105,Lembar2!$B$19:$C$24,2,FALSE)+7),"Delayed","Ontime")</f>
        <v>Delayed</v>
      </c>
      <c r="Q105" s="3">
        <f t="shared" si="10"/>
        <v>31466.16</v>
      </c>
      <c r="R105" s="3">
        <f t="shared" si="11"/>
        <v>28438.850000000002</v>
      </c>
      <c r="S105" s="3">
        <f t="shared" si="12"/>
        <v>3027.3099999999977</v>
      </c>
      <c r="T105">
        <f t="shared" si="13"/>
        <v>0</v>
      </c>
    </row>
    <row r="106" spans="1:20" x14ac:dyDescent="0.25">
      <c r="A106" t="s">
        <v>909</v>
      </c>
      <c r="B106" t="s">
        <v>807</v>
      </c>
      <c r="C106" s="1">
        <v>44972</v>
      </c>
      <c r="D106" s="1">
        <f>IF(E106="",C106+VLOOKUP(B106,Lembar2!$B$19:$C$24,2,FALSE),'Procurement Dataset'!E106)</f>
        <v>44986</v>
      </c>
      <c r="E106" s="1">
        <v>44986</v>
      </c>
      <c r="F106" t="s">
        <v>791</v>
      </c>
      <c r="G106" t="s">
        <v>811</v>
      </c>
      <c r="H106" s="5">
        <v>1936</v>
      </c>
      <c r="I106" s="3">
        <v>93.66</v>
      </c>
      <c r="J106" s="3">
        <v>92.24</v>
      </c>
      <c r="K106" s="5">
        <f t="shared" si="8"/>
        <v>58</v>
      </c>
      <c r="L106">
        <v>58</v>
      </c>
      <c r="M106" t="s">
        <v>793</v>
      </c>
      <c r="N106">
        <f t="shared" si="7"/>
        <v>14</v>
      </c>
      <c r="O106" t="str">
        <f t="shared" si="9"/>
        <v>Valid</v>
      </c>
      <c r="P106" s="1" t="str">
        <f>IF(N106&gt;=(VLOOKUP(B106,Lembar2!$B$19:$C$24,2,FALSE)+7),"Delayed","Ontime")</f>
        <v>Ontime</v>
      </c>
      <c r="Q106" s="3">
        <f t="shared" si="10"/>
        <v>181325.75999999998</v>
      </c>
      <c r="R106" s="3">
        <f t="shared" si="11"/>
        <v>178576.63999999998</v>
      </c>
      <c r="S106" s="3">
        <f t="shared" si="12"/>
        <v>2749.1199999999953</v>
      </c>
      <c r="T106">
        <f t="shared" si="13"/>
        <v>1</v>
      </c>
    </row>
    <row r="107" spans="1:20" x14ac:dyDescent="0.25">
      <c r="A107" t="s">
        <v>910</v>
      </c>
      <c r="B107" t="s">
        <v>795</v>
      </c>
      <c r="C107" s="1">
        <v>44836</v>
      </c>
      <c r="D107" s="1">
        <f>IF(E107="",C107+VLOOKUP(B107,Lembar2!$B$19:$C$24,2,FALSE),'Procurement Dataset'!E107)</f>
        <v>44856</v>
      </c>
      <c r="E107" s="1">
        <v>44856</v>
      </c>
      <c r="F107" t="s">
        <v>799</v>
      </c>
      <c r="G107" t="s">
        <v>792</v>
      </c>
      <c r="H107" s="5">
        <v>865</v>
      </c>
      <c r="I107" s="3">
        <v>14.7</v>
      </c>
      <c r="J107" s="3">
        <v>13.14</v>
      </c>
      <c r="K107" s="5">
        <f t="shared" si="8"/>
        <v>135</v>
      </c>
      <c r="L107">
        <v>135</v>
      </c>
      <c r="M107" t="s">
        <v>805</v>
      </c>
      <c r="N107">
        <f t="shared" si="7"/>
        <v>20</v>
      </c>
      <c r="O107" t="str">
        <f t="shared" si="9"/>
        <v>Valid</v>
      </c>
      <c r="P107" s="1" t="str">
        <f>IF(N107&gt;=(VLOOKUP(B107,Lembar2!$B$19:$C$24,2,FALSE)+7),"Delayed","Ontime")</f>
        <v>Delayed</v>
      </c>
      <c r="Q107" s="3">
        <f t="shared" si="10"/>
        <v>12715.5</v>
      </c>
      <c r="R107" s="3">
        <f t="shared" si="11"/>
        <v>11366.1</v>
      </c>
      <c r="S107" s="3">
        <f t="shared" si="12"/>
        <v>1349.3999999999996</v>
      </c>
      <c r="T107">
        <f t="shared" si="13"/>
        <v>0</v>
      </c>
    </row>
    <row r="108" spans="1:20" x14ac:dyDescent="0.25">
      <c r="A108" t="s">
        <v>911</v>
      </c>
      <c r="B108" t="s">
        <v>807</v>
      </c>
      <c r="C108" s="1">
        <v>44629</v>
      </c>
      <c r="D108" s="1">
        <f>IF(E108="",C108+VLOOKUP(B108,Lembar2!$B$19:$C$24,2,FALSE),'Procurement Dataset'!E108)</f>
        <v>44632</v>
      </c>
      <c r="E108" s="1">
        <v>44632</v>
      </c>
      <c r="F108" t="s">
        <v>817</v>
      </c>
      <c r="G108" t="s">
        <v>796</v>
      </c>
      <c r="H108" s="5">
        <v>1344</v>
      </c>
      <c r="I108" s="3">
        <v>12.5</v>
      </c>
      <c r="J108" s="3">
        <v>10.87</v>
      </c>
      <c r="K108" s="5">
        <f t="shared" si="8"/>
        <v>44</v>
      </c>
      <c r="L108">
        <v>44</v>
      </c>
      <c r="M108" t="s">
        <v>793</v>
      </c>
      <c r="N108">
        <f t="shared" si="7"/>
        <v>3</v>
      </c>
      <c r="O108" t="str">
        <f t="shared" si="9"/>
        <v>Valid</v>
      </c>
      <c r="P108" s="1" t="str">
        <f>IF(N108&gt;=(VLOOKUP(B108,Lembar2!$B$19:$C$24,2,FALSE)+7),"Delayed","Ontime")</f>
        <v>Ontime</v>
      </c>
      <c r="Q108" s="3">
        <f t="shared" si="10"/>
        <v>16800</v>
      </c>
      <c r="R108" s="3">
        <f t="shared" si="11"/>
        <v>14609.279999999999</v>
      </c>
      <c r="S108" s="3">
        <f t="shared" si="12"/>
        <v>2190.7200000000012</v>
      </c>
      <c r="T108">
        <f t="shared" si="13"/>
        <v>1</v>
      </c>
    </row>
    <row r="109" spans="1:20" x14ac:dyDescent="0.25">
      <c r="A109" t="s">
        <v>912</v>
      </c>
      <c r="B109" t="s">
        <v>795</v>
      </c>
      <c r="C109" s="1">
        <v>44778</v>
      </c>
      <c r="D109" s="1">
        <f>IF(E109="",C109+VLOOKUP(B109,Lembar2!$B$19:$C$24,2,FALSE),'Procurement Dataset'!E109)</f>
        <v>44797</v>
      </c>
      <c r="E109" s="1">
        <v>44797</v>
      </c>
      <c r="F109" t="s">
        <v>804</v>
      </c>
      <c r="G109" t="s">
        <v>813</v>
      </c>
      <c r="H109" s="5">
        <v>505</v>
      </c>
      <c r="I109" s="3">
        <v>45.42</v>
      </c>
      <c r="J109" s="3">
        <v>40.369999999999997</v>
      </c>
      <c r="K109" s="5">
        <f t="shared" si="8"/>
        <v>62</v>
      </c>
      <c r="L109">
        <v>62</v>
      </c>
      <c r="M109" t="s">
        <v>793</v>
      </c>
      <c r="N109">
        <f t="shared" si="7"/>
        <v>19</v>
      </c>
      <c r="O109" t="str">
        <f t="shared" si="9"/>
        <v>Valid</v>
      </c>
      <c r="P109" s="1" t="str">
        <f>IF(N109&gt;=(VLOOKUP(B109,Lembar2!$B$19:$C$24,2,FALSE)+7),"Delayed","Ontime")</f>
        <v>Delayed</v>
      </c>
      <c r="Q109" s="3">
        <f t="shared" si="10"/>
        <v>22937.100000000002</v>
      </c>
      <c r="R109" s="3">
        <f t="shared" si="11"/>
        <v>20386.849999999999</v>
      </c>
      <c r="S109" s="3">
        <f t="shared" si="12"/>
        <v>2550.2500000000036</v>
      </c>
      <c r="T109">
        <f t="shared" si="13"/>
        <v>0</v>
      </c>
    </row>
    <row r="110" spans="1:20" x14ac:dyDescent="0.25">
      <c r="A110" t="s">
        <v>913</v>
      </c>
      <c r="B110" t="s">
        <v>801</v>
      </c>
      <c r="C110" s="1">
        <v>45142</v>
      </c>
      <c r="D110" s="1">
        <f>IF(E110="",C110+VLOOKUP(B110,Lembar2!$B$19:$C$24,2,FALSE),'Procurement Dataset'!E110)</f>
        <v>45143</v>
      </c>
      <c r="E110" s="1">
        <v>45143</v>
      </c>
      <c r="F110" t="s">
        <v>802</v>
      </c>
      <c r="G110" t="s">
        <v>796</v>
      </c>
      <c r="H110" s="5">
        <v>1535</v>
      </c>
      <c r="I110" s="3">
        <v>90.83</v>
      </c>
      <c r="J110" s="3">
        <v>78.28</v>
      </c>
      <c r="K110" s="5">
        <f t="shared" si="8"/>
        <v>151</v>
      </c>
      <c r="L110">
        <v>151</v>
      </c>
      <c r="M110" t="s">
        <v>805</v>
      </c>
      <c r="N110">
        <f t="shared" si="7"/>
        <v>1</v>
      </c>
      <c r="O110" t="str">
        <f t="shared" si="9"/>
        <v>Valid</v>
      </c>
      <c r="P110" s="1" t="str">
        <f>IF(N110&gt;=(VLOOKUP(B110,Lembar2!$B$19:$C$24,2,FALSE)+7),"Delayed","Ontime")</f>
        <v>Ontime</v>
      </c>
      <c r="Q110" s="3">
        <f t="shared" si="10"/>
        <v>139424.04999999999</v>
      </c>
      <c r="R110" s="3">
        <f t="shared" si="11"/>
        <v>120159.8</v>
      </c>
      <c r="S110" s="3">
        <f t="shared" si="12"/>
        <v>19264.249999999985</v>
      </c>
      <c r="T110">
        <f t="shared" si="13"/>
        <v>1</v>
      </c>
    </row>
    <row r="111" spans="1:20" x14ac:dyDescent="0.25">
      <c r="A111" t="s">
        <v>914</v>
      </c>
      <c r="B111" t="s">
        <v>801</v>
      </c>
      <c r="C111" s="1">
        <v>44884</v>
      </c>
      <c r="D111" s="1">
        <f>IF(E111="",C111+VLOOKUP(B111,Lembar2!$B$19:$C$24,2,FALSE),'Procurement Dataset'!E111)</f>
        <v>44896</v>
      </c>
      <c r="F111" t="s">
        <v>791</v>
      </c>
      <c r="G111" t="s">
        <v>796</v>
      </c>
      <c r="H111" s="5">
        <v>1800</v>
      </c>
      <c r="I111" s="3">
        <v>103.8</v>
      </c>
      <c r="J111" s="3">
        <v>96.27</v>
      </c>
      <c r="K111" s="5">
        <f t="shared" si="8"/>
        <v>166</v>
      </c>
      <c r="L111">
        <v>166</v>
      </c>
      <c r="M111" t="s">
        <v>793</v>
      </c>
      <c r="N111" t="str">
        <f t="shared" si="7"/>
        <v/>
      </c>
      <c r="O111" t="str">
        <f t="shared" si="9"/>
        <v>Valid</v>
      </c>
      <c r="P111" s="1" t="str">
        <f>IF(N111&gt;=(VLOOKUP(B111,Lembar2!$B$19:$C$24,2,FALSE)+7),"Delayed","Ontime")</f>
        <v>Delayed</v>
      </c>
      <c r="Q111" s="3">
        <f t="shared" si="10"/>
        <v>186840</v>
      </c>
      <c r="R111" s="3">
        <f t="shared" si="11"/>
        <v>173286</v>
      </c>
      <c r="S111" s="3">
        <f t="shared" si="12"/>
        <v>13554</v>
      </c>
      <c r="T111">
        <f t="shared" si="13"/>
        <v>0</v>
      </c>
    </row>
    <row r="112" spans="1:20" x14ac:dyDescent="0.25">
      <c r="A112" t="s">
        <v>915</v>
      </c>
      <c r="B112" t="s">
        <v>795</v>
      </c>
      <c r="C112" s="1">
        <v>44779</v>
      </c>
      <c r="D112" s="1">
        <f>IF(E112="",C112+VLOOKUP(B112,Lembar2!$B$19:$C$24,2,FALSE),'Procurement Dataset'!E112)</f>
        <v>44788</v>
      </c>
      <c r="E112" s="1">
        <v>44788</v>
      </c>
      <c r="F112" t="s">
        <v>804</v>
      </c>
      <c r="G112" t="s">
        <v>813</v>
      </c>
      <c r="H112" s="5">
        <v>1325</v>
      </c>
      <c r="I112" s="3">
        <v>24.36</v>
      </c>
      <c r="J112" s="3">
        <v>22.75</v>
      </c>
      <c r="K112" s="5">
        <f t="shared" si="8"/>
        <v>206</v>
      </c>
      <c r="L112">
        <v>206</v>
      </c>
      <c r="M112" t="s">
        <v>793</v>
      </c>
      <c r="N112">
        <f t="shared" si="7"/>
        <v>9</v>
      </c>
      <c r="O112" t="str">
        <f t="shared" si="9"/>
        <v>Valid</v>
      </c>
      <c r="P112" s="1" t="str">
        <f>IF(N112&gt;=(VLOOKUP(B112,Lembar2!$B$19:$C$24,2,FALSE)+7),"Delayed","Ontime")</f>
        <v>Ontime</v>
      </c>
      <c r="Q112" s="3">
        <f t="shared" si="10"/>
        <v>32277</v>
      </c>
      <c r="R112" s="3">
        <f t="shared" si="11"/>
        <v>30143.75</v>
      </c>
      <c r="S112" s="3">
        <f t="shared" si="12"/>
        <v>2133.25</v>
      </c>
      <c r="T112">
        <f t="shared" si="13"/>
        <v>1</v>
      </c>
    </row>
    <row r="113" spans="1:20" x14ac:dyDescent="0.25">
      <c r="A113" t="s">
        <v>916</v>
      </c>
      <c r="B113" t="s">
        <v>798</v>
      </c>
      <c r="C113" s="1">
        <v>45233</v>
      </c>
      <c r="D113" s="1">
        <f>IF(E113="",C113+VLOOKUP(B113,Lembar2!$B$19:$C$24,2,FALSE),'Procurement Dataset'!E113)</f>
        <v>45239</v>
      </c>
      <c r="E113" s="1">
        <v>45239</v>
      </c>
      <c r="F113" t="s">
        <v>804</v>
      </c>
      <c r="G113" t="s">
        <v>796</v>
      </c>
      <c r="H113" s="5">
        <v>1066</v>
      </c>
      <c r="I113" s="3">
        <v>70.45</v>
      </c>
      <c r="J113" s="3">
        <v>65.88</v>
      </c>
      <c r="K113" s="5">
        <f t="shared" si="8"/>
        <v>56</v>
      </c>
      <c r="L113">
        <v>56</v>
      </c>
      <c r="M113" t="s">
        <v>805</v>
      </c>
      <c r="N113">
        <f t="shared" si="7"/>
        <v>6</v>
      </c>
      <c r="O113" t="str">
        <f t="shared" si="9"/>
        <v>Valid</v>
      </c>
      <c r="P113" s="1" t="str">
        <f>IF(N113&gt;=(VLOOKUP(B113,Lembar2!$B$19:$C$24,2,FALSE)+7),"Delayed","Ontime")</f>
        <v>Ontime</v>
      </c>
      <c r="Q113" s="3">
        <f t="shared" si="10"/>
        <v>75099.7</v>
      </c>
      <c r="R113" s="3">
        <f t="shared" si="11"/>
        <v>70228.08</v>
      </c>
      <c r="S113" s="3">
        <f t="shared" si="12"/>
        <v>4871.6199999999953</v>
      </c>
      <c r="T113">
        <f t="shared" si="13"/>
        <v>1</v>
      </c>
    </row>
    <row r="114" spans="1:20" x14ac:dyDescent="0.25">
      <c r="A114" t="s">
        <v>917</v>
      </c>
      <c r="B114" t="s">
        <v>801</v>
      </c>
      <c r="C114" s="1">
        <v>45073</v>
      </c>
      <c r="D114" s="1">
        <f>IF(E114="",C114+VLOOKUP(B114,Lembar2!$B$19:$C$24,2,FALSE),'Procurement Dataset'!E114)</f>
        <v>45088</v>
      </c>
      <c r="E114" s="1">
        <v>45088</v>
      </c>
      <c r="F114" t="s">
        <v>804</v>
      </c>
      <c r="G114" t="s">
        <v>796</v>
      </c>
      <c r="H114" s="5">
        <v>1775</v>
      </c>
      <c r="I114" s="3">
        <v>47.82</v>
      </c>
      <c r="J114" s="3">
        <v>45.86</v>
      </c>
      <c r="K114" s="5">
        <f t="shared" si="8"/>
        <v>180</v>
      </c>
      <c r="L114">
        <v>180</v>
      </c>
      <c r="M114" t="s">
        <v>793</v>
      </c>
      <c r="N114">
        <f t="shared" si="7"/>
        <v>15</v>
      </c>
      <c r="O114" t="str">
        <f t="shared" si="9"/>
        <v>Valid</v>
      </c>
      <c r="P114" s="1" t="str">
        <f>IF(N114&gt;=(VLOOKUP(B114,Lembar2!$B$19:$C$24,2,FALSE)+7),"Delayed","Ontime")</f>
        <v>Ontime</v>
      </c>
      <c r="Q114" s="3">
        <f t="shared" si="10"/>
        <v>84880.5</v>
      </c>
      <c r="R114" s="3">
        <f t="shared" si="11"/>
        <v>81401.5</v>
      </c>
      <c r="S114" s="3">
        <f t="shared" si="12"/>
        <v>3479</v>
      </c>
      <c r="T114">
        <f t="shared" si="13"/>
        <v>1</v>
      </c>
    </row>
    <row r="115" spans="1:20" x14ac:dyDescent="0.25">
      <c r="A115" t="s">
        <v>918</v>
      </c>
      <c r="B115" t="s">
        <v>798</v>
      </c>
      <c r="C115" s="1">
        <v>44967</v>
      </c>
      <c r="D115" s="1">
        <f>IF(E115="",C115+VLOOKUP(B115,Lembar2!$B$19:$C$24,2,FALSE),'Procurement Dataset'!E115)</f>
        <v>44977</v>
      </c>
      <c r="F115" t="s">
        <v>804</v>
      </c>
      <c r="G115" t="s">
        <v>811</v>
      </c>
      <c r="H115" s="5">
        <v>345</v>
      </c>
      <c r="I115" s="3">
        <v>103.62</v>
      </c>
      <c r="J115" s="3">
        <v>98.09</v>
      </c>
      <c r="K115" s="5">
        <f t="shared" si="8"/>
        <v>25</v>
      </c>
      <c r="L115">
        <v>25</v>
      </c>
      <c r="M115" t="s">
        <v>805</v>
      </c>
      <c r="N115" t="str">
        <f t="shared" si="7"/>
        <v/>
      </c>
      <c r="O115" t="str">
        <f t="shared" si="9"/>
        <v>Valid</v>
      </c>
      <c r="P115" s="1" t="str">
        <f>IF(N115&gt;=(VLOOKUP(B115,Lembar2!$B$19:$C$24,2,FALSE)+7),"Delayed","Ontime")</f>
        <v>Delayed</v>
      </c>
      <c r="Q115" s="3">
        <f t="shared" si="10"/>
        <v>35748.9</v>
      </c>
      <c r="R115" s="3">
        <f t="shared" si="11"/>
        <v>33841.050000000003</v>
      </c>
      <c r="S115" s="3">
        <f t="shared" si="12"/>
        <v>1907.8499999999985</v>
      </c>
      <c r="T115">
        <f t="shared" si="13"/>
        <v>0</v>
      </c>
    </row>
    <row r="116" spans="1:20" x14ac:dyDescent="0.25">
      <c r="A116" t="s">
        <v>919</v>
      </c>
      <c r="B116" t="s">
        <v>801</v>
      </c>
      <c r="C116" s="1">
        <v>45220</v>
      </c>
      <c r="D116" s="1">
        <f>IF(E116="",C116+VLOOKUP(B116,Lembar2!$B$19:$C$24,2,FALSE),'Procurement Dataset'!E116)</f>
        <v>45239</v>
      </c>
      <c r="E116" s="1">
        <v>45239</v>
      </c>
      <c r="F116" t="s">
        <v>817</v>
      </c>
      <c r="G116" t="s">
        <v>796</v>
      </c>
      <c r="H116" s="5">
        <v>1798</v>
      </c>
      <c r="I116" s="3">
        <v>94.8</v>
      </c>
      <c r="J116" s="3">
        <v>91.83</v>
      </c>
      <c r="K116" s="5">
        <f t="shared" si="8"/>
        <v>0</v>
      </c>
      <c r="M116" t="s">
        <v>793</v>
      </c>
      <c r="N116">
        <f t="shared" si="7"/>
        <v>19</v>
      </c>
      <c r="O116" t="str">
        <f t="shared" si="9"/>
        <v>Valid</v>
      </c>
      <c r="P116" s="1" t="str">
        <f>IF(N116&gt;=(VLOOKUP(B116,Lembar2!$B$19:$C$24,2,FALSE)+7),"Delayed","Ontime")</f>
        <v>Delayed</v>
      </c>
      <c r="Q116" s="3">
        <f t="shared" si="10"/>
        <v>170450.4</v>
      </c>
      <c r="R116" s="3">
        <f t="shared" si="11"/>
        <v>165110.34</v>
      </c>
      <c r="S116" s="3">
        <f t="shared" si="12"/>
        <v>5340.0599999999977</v>
      </c>
      <c r="T116">
        <f t="shared" si="13"/>
        <v>0</v>
      </c>
    </row>
    <row r="117" spans="1:20" x14ac:dyDescent="0.25">
      <c r="A117" t="s">
        <v>920</v>
      </c>
      <c r="B117" t="s">
        <v>790</v>
      </c>
      <c r="C117" s="1">
        <v>45031</v>
      </c>
      <c r="D117" s="1">
        <f>IF(E117="",C117+VLOOKUP(B117,Lembar2!$B$19:$C$24,2,FALSE),'Procurement Dataset'!E117)</f>
        <v>45047</v>
      </c>
      <c r="E117" s="1">
        <v>45047</v>
      </c>
      <c r="F117" t="s">
        <v>799</v>
      </c>
      <c r="G117" t="s">
        <v>796</v>
      </c>
      <c r="H117" s="5">
        <v>769</v>
      </c>
      <c r="I117" s="3">
        <v>91.86</v>
      </c>
      <c r="J117" s="3">
        <v>86.55</v>
      </c>
      <c r="K117" s="5">
        <f t="shared" si="8"/>
        <v>17</v>
      </c>
      <c r="L117">
        <v>17</v>
      </c>
      <c r="M117" t="s">
        <v>793</v>
      </c>
      <c r="N117">
        <f t="shared" si="7"/>
        <v>16</v>
      </c>
      <c r="O117" t="str">
        <f t="shared" si="9"/>
        <v>Valid</v>
      </c>
      <c r="P117" s="1" t="str">
        <f>IF(N117&gt;=(VLOOKUP(B117,Lembar2!$B$19:$C$24,2,FALSE)+7),"Delayed","Ontime")</f>
        <v>Ontime</v>
      </c>
      <c r="Q117" s="3">
        <f t="shared" si="10"/>
        <v>70640.34</v>
      </c>
      <c r="R117" s="3">
        <f t="shared" si="11"/>
        <v>66556.95</v>
      </c>
      <c r="S117" s="3">
        <f t="shared" si="12"/>
        <v>4083.3899999999994</v>
      </c>
      <c r="T117">
        <f t="shared" si="13"/>
        <v>1</v>
      </c>
    </row>
    <row r="118" spans="1:20" x14ac:dyDescent="0.25">
      <c r="A118" t="s">
        <v>921</v>
      </c>
      <c r="B118" t="s">
        <v>790</v>
      </c>
      <c r="C118" s="1">
        <v>44708</v>
      </c>
      <c r="D118" s="1">
        <f>IF(E118="",C118+VLOOKUP(B118,Lembar2!$B$19:$C$24,2,FALSE),'Procurement Dataset'!E118)</f>
        <v>44719</v>
      </c>
      <c r="F118" t="s">
        <v>802</v>
      </c>
      <c r="G118" t="s">
        <v>796</v>
      </c>
      <c r="H118" s="5">
        <v>1822</v>
      </c>
      <c r="I118" s="3">
        <v>53.23</v>
      </c>
      <c r="J118" s="3">
        <v>47.49</v>
      </c>
      <c r="K118" s="5">
        <f t="shared" si="8"/>
        <v>39</v>
      </c>
      <c r="L118">
        <v>39</v>
      </c>
      <c r="M118" t="s">
        <v>793</v>
      </c>
      <c r="N118" t="str">
        <f t="shared" si="7"/>
        <v/>
      </c>
      <c r="O118" t="str">
        <f t="shared" si="9"/>
        <v>Valid</v>
      </c>
      <c r="P118" s="1" t="str">
        <f>IF(N118&gt;=(VLOOKUP(B118,Lembar2!$B$19:$C$24,2,FALSE)+7),"Delayed","Ontime")</f>
        <v>Delayed</v>
      </c>
      <c r="Q118" s="3">
        <f t="shared" si="10"/>
        <v>96985.06</v>
      </c>
      <c r="R118" s="3">
        <f t="shared" si="11"/>
        <v>86526.78</v>
      </c>
      <c r="S118" s="3">
        <f t="shared" si="12"/>
        <v>10458.279999999999</v>
      </c>
      <c r="T118">
        <f t="shared" si="13"/>
        <v>0</v>
      </c>
    </row>
    <row r="119" spans="1:20" x14ac:dyDescent="0.25">
      <c r="A119" t="s">
        <v>922</v>
      </c>
      <c r="B119" t="s">
        <v>795</v>
      </c>
      <c r="C119" s="1">
        <v>44833</v>
      </c>
      <c r="D119" s="1">
        <f>IF(E119="",C119+VLOOKUP(B119,Lembar2!$B$19:$C$24,2,FALSE),'Procurement Dataset'!E119)</f>
        <v>44847</v>
      </c>
      <c r="E119" s="1">
        <v>44847</v>
      </c>
      <c r="F119" t="s">
        <v>802</v>
      </c>
      <c r="G119" t="s">
        <v>796</v>
      </c>
      <c r="H119" s="5">
        <v>387</v>
      </c>
      <c r="I119" s="3">
        <v>49.23</v>
      </c>
      <c r="J119" s="3">
        <v>45.41</v>
      </c>
      <c r="K119" s="5">
        <f t="shared" si="8"/>
        <v>61</v>
      </c>
      <c r="L119">
        <v>61</v>
      </c>
      <c r="M119" t="s">
        <v>793</v>
      </c>
      <c r="N119">
        <f t="shared" si="7"/>
        <v>14</v>
      </c>
      <c r="O119" t="str">
        <f t="shared" si="9"/>
        <v>Valid</v>
      </c>
      <c r="P119" s="1" t="str">
        <f>IF(N119&gt;=(VLOOKUP(B119,Lembar2!$B$19:$C$24,2,FALSE)+7),"Delayed","Ontime")</f>
        <v>Ontime</v>
      </c>
      <c r="Q119" s="3">
        <f t="shared" si="10"/>
        <v>19052.009999999998</v>
      </c>
      <c r="R119" s="3">
        <f t="shared" si="11"/>
        <v>17573.669999999998</v>
      </c>
      <c r="S119" s="3">
        <f t="shared" si="12"/>
        <v>1478.3400000000001</v>
      </c>
      <c r="T119">
        <f t="shared" si="13"/>
        <v>1</v>
      </c>
    </row>
    <row r="120" spans="1:20" x14ac:dyDescent="0.25">
      <c r="A120" t="s">
        <v>923</v>
      </c>
      <c r="B120" t="s">
        <v>807</v>
      </c>
      <c r="C120" s="1">
        <v>44704</v>
      </c>
      <c r="D120" s="1">
        <f>IF(E120="",C120+VLOOKUP(B120,Lembar2!$B$19:$C$24,2,FALSE),'Procurement Dataset'!E120)</f>
        <v>44708</v>
      </c>
      <c r="E120" s="1">
        <v>44708</v>
      </c>
      <c r="F120" t="s">
        <v>799</v>
      </c>
      <c r="G120" t="s">
        <v>796</v>
      </c>
      <c r="H120" s="5">
        <v>928</v>
      </c>
      <c r="I120" s="3">
        <v>35.299999999999997</v>
      </c>
      <c r="J120" s="3">
        <v>32.520000000000003</v>
      </c>
      <c r="K120" s="5">
        <f t="shared" si="8"/>
        <v>26</v>
      </c>
      <c r="L120">
        <v>26</v>
      </c>
      <c r="M120" t="s">
        <v>793</v>
      </c>
      <c r="N120">
        <f t="shared" si="7"/>
        <v>4</v>
      </c>
      <c r="O120" t="str">
        <f t="shared" si="9"/>
        <v>Valid</v>
      </c>
      <c r="P120" s="1" t="str">
        <f>IF(N120&gt;=(VLOOKUP(B120,Lembar2!$B$19:$C$24,2,FALSE)+7),"Delayed","Ontime")</f>
        <v>Ontime</v>
      </c>
      <c r="Q120" s="3">
        <f t="shared" si="10"/>
        <v>32758.399999999998</v>
      </c>
      <c r="R120" s="3">
        <f t="shared" si="11"/>
        <v>30178.560000000001</v>
      </c>
      <c r="S120" s="3">
        <f t="shared" si="12"/>
        <v>2579.8399999999965</v>
      </c>
      <c r="T120">
        <f t="shared" si="13"/>
        <v>1</v>
      </c>
    </row>
    <row r="121" spans="1:20" x14ac:dyDescent="0.25">
      <c r="A121" t="s">
        <v>924</v>
      </c>
      <c r="B121" t="s">
        <v>790</v>
      </c>
      <c r="C121" s="1">
        <v>44814</v>
      </c>
      <c r="D121" s="1">
        <f>IF(E121="",C121+VLOOKUP(B121,Lembar2!$B$19:$C$24,2,FALSE),'Procurement Dataset'!E121)</f>
        <v>44825</v>
      </c>
      <c r="E121" s="1">
        <v>44825</v>
      </c>
      <c r="F121" t="s">
        <v>802</v>
      </c>
      <c r="G121" t="s">
        <v>811</v>
      </c>
      <c r="H121" s="5">
        <v>1126</v>
      </c>
      <c r="I121" s="3">
        <v>15.68</v>
      </c>
      <c r="J121" s="3">
        <v>14.97</v>
      </c>
      <c r="K121" s="5">
        <f t="shared" si="8"/>
        <v>27</v>
      </c>
      <c r="L121">
        <v>27</v>
      </c>
      <c r="M121" t="s">
        <v>793</v>
      </c>
      <c r="N121">
        <f t="shared" si="7"/>
        <v>11</v>
      </c>
      <c r="O121" t="str">
        <f t="shared" si="9"/>
        <v>Valid</v>
      </c>
      <c r="P121" s="1" t="str">
        <f>IF(N121&gt;=(VLOOKUP(B121,Lembar2!$B$19:$C$24,2,FALSE)+7),"Delayed","Ontime")</f>
        <v>Ontime</v>
      </c>
      <c r="Q121" s="3">
        <f t="shared" si="10"/>
        <v>17655.68</v>
      </c>
      <c r="R121" s="3">
        <f t="shared" si="11"/>
        <v>16856.22</v>
      </c>
      <c r="S121" s="3">
        <f t="shared" si="12"/>
        <v>799.45999999999913</v>
      </c>
      <c r="T121">
        <f t="shared" si="13"/>
        <v>1</v>
      </c>
    </row>
    <row r="122" spans="1:20" x14ac:dyDescent="0.25">
      <c r="A122" t="s">
        <v>925</v>
      </c>
      <c r="B122" t="s">
        <v>801</v>
      </c>
      <c r="C122" s="1">
        <v>45136</v>
      </c>
      <c r="D122" s="1">
        <f>IF(E122="",C122+VLOOKUP(B122,Lembar2!$B$19:$C$24,2,FALSE),'Procurement Dataset'!E122)</f>
        <v>45152</v>
      </c>
      <c r="E122" s="1">
        <v>45152</v>
      </c>
      <c r="F122" t="s">
        <v>804</v>
      </c>
      <c r="G122" t="s">
        <v>792</v>
      </c>
      <c r="H122" s="5">
        <v>841</v>
      </c>
      <c r="I122" s="3">
        <v>95.73</v>
      </c>
      <c r="J122" s="3">
        <v>85.33</v>
      </c>
      <c r="K122" s="5">
        <f t="shared" si="8"/>
        <v>81</v>
      </c>
      <c r="L122">
        <v>81</v>
      </c>
      <c r="M122" t="s">
        <v>793</v>
      </c>
      <c r="N122">
        <f t="shared" si="7"/>
        <v>16</v>
      </c>
      <c r="O122" t="str">
        <f t="shared" si="9"/>
        <v>Valid</v>
      </c>
      <c r="P122" s="1" t="str">
        <f>IF(N122&gt;=(VLOOKUP(B122,Lembar2!$B$19:$C$24,2,FALSE)+7),"Delayed","Ontime")</f>
        <v>Ontime</v>
      </c>
      <c r="Q122" s="3">
        <f t="shared" si="10"/>
        <v>80508.930000000008</v>
      </c>
      <c r="R122" s="3">
        <f t="shared" si="11"/>
        <v>71762.53</v>
      </c>
      <c r="S122" s="3">
        <f t="shared" si="12"/>
        <v>8746.4000000000087</v>
      </c>
      <c r="T122">
        <f t="shared" si="13"/>
        <v>1</v>
      </c>
    </row>
    <row r="123" spans="1:20" x14ac:dyDescent="0.25">
      <c r="A123" t="s">
        <v>926</v>
      </c>
      <c r="B123" t="s">
        <v>801</v>
      </c>
      <c r="C123" s="1">
        <v>45113</v>
      </c>
      <c r="D123" s="1">
        <f>IF(E123="",C123+VLOOKUP(B123,Lembar2!$B$19:$C$24,2,FALSE),'Procurement Dataset'!E123)</f>
        <v>45126</v>
      </c>
      <c r="E123" s="1">
        <v>45126</v>
      </c>
      <c r="F123" t="s">
        <v>817</v>
      </c>
      <c r="G123" t="s">
        <v>796</v>
      </c>
      <c r="H123" s="5">
        <v>1995</v>
      </c>
      <c r="I123" s="3">
        <v>90.65</v>
      </c>
      <c r="J123" s="3">
        <v>77.75</v>
      </c>
      <c r="K123" s="5">
        <f t="shared" si="8"/>
        <v>206</v>
      </c>
      <c r="L123">
        <v>206</v>
      </c>
      <c r="M123" t="s">
        <v>793</v>
      </c>
      <c r="N123">
        <f t="shared" si="7"/>
        <v>13</v>
      </c>
      <c r="O123" t="str">
        <f t="shared" si="9"/>
        <v>Valid</v>
      </c>
      <c r="P123" s="1" t="str">
        <f>IF(N123&gt;=(VLOOKUP(B123,Lembar2!$B$19:$C$24,2,FALSE)+7),"Delayed","Ontime")</f>
        <v>Ontime</v>
      </c>
      <c r="Q123" s="3">
        <f t="shared" si="10"/>
        <v>180846.75</v>
      </c>
      <c r="R123" s="3">
        <f t="shared" si="11"/>
        <v>155111.25</v>
      </c>
      <c r="S123" s="3">
        <f t="shared" si="12"/>
        <v>25735.5</v>
      </c>
      <c r="T123">
        <f t="shared" si="13"/>
        <v>1</v>
      </c>
    </row>
    <row r="124" spans="1:20" x14ac:dyDescent="0.25">
      <c r="A124" t="s">
        <v>927</v>
      </c>
      <c r="B124" t="s">
        <v>790</v>
      </c>
      <c r="C124" s="1">
        <v>44831</v>
      </c>
      <c r="D124" s="1">
        <f>IF(E124="",C124+VLOOKUP(B124,Lembar2!$B$19:$C$24,2,FALSE),'Procurement Dataset'!E124)</f>
        <v>44849</v>
      </c>
      <c r="E124" s="1">
        <v>44849</v>
      </c>
      <c r="F124" t="s">
        <v>804</v>
      </c>
      <c r="G124" t="s">
        <v>796</v>
      </c>
      <c r="H124" s="5">
        <v>266</v>
      </c>
      <c r="I124" s="3">
        <v>103.97</v>
      </c>
      <c r="J124" s="3">
        <v>101.44</v>
      </c>
      <c r="K124" s="5">
        <f t="shared" si="8"/>
        <v>6</v>
      </c>
      <c r="L124">
        <v>6</v>
      </c>
      <c r="M124" t="s">
        <v>793</v>
      </c>
      <c r="N124">
        <f t="shared" si="7"/>
        <v>18</v>
      </c>
      <c r="O124" t="str">
        <f t="shared" si="9"/>
        <v>Valid</v>
      </c>
      <c r="P124" s="1" t="str">
        <f>IF(N124&gt;=(VLOOKUP(B124,Lembar2!$B$19:$C$24,2,FALSE)+7),"Delayed","Ontime")</f>
        <v>Delayed</v>
      </c>
      <c r="Q124" s="3">
        <f t="shared" si="10"/>
        <v>27656.02</v>
      </c>
      <c r="R124" s="3">
        <f t="shared" si="11"/>
        <v>26983.040000000001</v>
      </c>
      <c r="S124" s="3">
        <f t="shared" si="12"/>
        <v>672.97999999999956</v>
      </c>
      <c r="T124">
        <f t="shared" si="13"/>
        <v>0</v>
      </c>
    </row>
    <row r="125" spans="1:20" x14ac:dyDescent="0.25">
      <c r="A125" t="s">
        <v>928</v>
      </c>
      <c r="B125" t="s">
        <v>790</v>
      </c>
      <c r="C125" s="1">
        <v>45160</v>
      </c>
      <c r="D125" s="1">
        <f>IF(E125="",C125+VLOOKUP(B125,Lembar2!$B$19:$C$24,2,FALSE),'Procurement Dataset'!E125)</f>
        <v>45163</v>
      </c>
      <c r="E125" s="1">
        <v>45163</v>
      </c>
      <c r="F125" t="s">
        <v>804</v>
      </c>
      <c r="G125" t="s">
        <v>792</v>
      </c>
      <c r="H125" s="5">
        <v>813</v>
      </c>
      <c r="I125" s="3">
        <v>109.17</v>
      </c>
      <c r="J125" s="3">
        <v>107.39</v>
      </c>
      <c r="K125" s="5">
        <f t="shared" si="8"/>
        <v>14</v>
      </c>
      <c r="L125">
        <v>14</v>
      </c>
      <c r="M125" t="s">
        <v>793</v>
      </c>
      <c r="N125">
        <f t="shared" si="7"/>
        <v>3</v>
      </c>
      <c r="O125" t="str">
        <f t="shared" si="9"/>
        <v>Valid</v>
      </c>
      <c r="P125" s="1" t="str">
        <f>IF(N125&gt;=(VLOOKUP(B125,Lembar2!$B$19:$C$24,2,FALSE)+7),"Delayed","Ontime")</f>
        <v>Ontime</v>
      </c>
      <c r="Q125" s="3">
        <f t="shared" si="10"/>
        <v>88755.21</v>
      </c>
      <c r="R125" s="3">
        <f t="shared" si="11"/>
        <v>87308.07</v>
      </c>
      <c r="S125" s="3">
        <f t="shared" si="12"/>
        <v>1447.1399999999994</v>
      </c>
      <c r="T125">
        <f t="shared" si="13"/>
        <v>1</v>
      </c>
    </row>
    <row r="126" spans="1:20" x14ac:dyDescent="0.25">
      <c r="A126" t="s">
        <v>929</v>
      </c>
      <c r="B126" t="s">
        <v>807</v>
      </c>
      <c r="C126" s="1">
        <v>45000</v>
      </c>
      <c r="D126" s="1">
        <f>IF(E126="",C126+VLOOKUP(B126,Lembar2!$B$19:$C$24,2,FALSE),'Procurement Dataset'!E126)</f>
        <v>45011</v>
      </c>
      <c r="E126" s="1">
        <v>45011</v>
      </c>
      <c r="F126" t="s">
        <v>817</v>
      </c>
      <c r="G126" t="s">
        <v>796</v>
      </c>
      <c r="H126" s="5">
        <v>237</v>
      </c>
      <c r="I126" s="3">
        <v>64.19</v>
      </c>
      <c r="J126" s="3">
        <v>59.01</v>
      </c>
      <c r="K126" s="5">
        <f t="shared" si="8"/>
        <v>7</v>
      </c>
      <c r="L126">
        <v>7</v>
      </c>
      <c r="M126" t="s">
        <v>793</v>
      </c>
      <c r="N126">
        <f t="shared" si="7"/>
        <v>11</v>
      </c>
      <c r="O126" t="str">
        <f t="shared" si="9"/>
        <v>Valid</v>
      </c>
      <c r="P126" s="1" t="str">
        <f>IF(N126&gt;=(VLOOKUP(B126,Lembar2!$B$19:$C$24,2,FALSE)+7),"Delayed","Ontime")</f>
        <v>Ontime</v>
      </c>
      <c r="Q126" s="3">
        <f t="shared" si="10"/>
        <v>15213.029999999999</v>
      </c>
      <c r="R126" s="3">
        <f t="shared" si="11"/>
        <v>13985.369999999999</v>
      </c>
      <c r="S126" s="3">
        <f t="shared" si="12"/>
        <v>1227.6599999999999</v>
      </c>
      <c r="T126">
        <f t="shared" si="13"/>
        <v>1</v>
      </c>
    </row>
    <row r="127" spans="1:20" x14ac:dyDescent="0.25">
      <c r="A127" t="s">
        <v>930</v>
      </c>
      <c r="B127" t="s">
        <v>790</v>
      </c>
      <c r="C127" s="1">
        <v>45159</v>
      </c>
      <c r="D127" s="1">
        <f>IF(E127="",C127+VLOOKUP(B127,Lembar2!$B$19:$C$24,2,FALSE),'Procurement Dataset'!E127)</f>
        <v>45172</v>
      </c>
      <c r="E127" s="1">
        <v>45172</v>
      </c>
      <c r="F127" t="s">
        <v>791</v>
      </c>
      <c r="G127" t="s">
        <v>792</v>
      </c>
      <c r="H127" s="5">
        <v>429</v>
      </c>
      <c r="I127" s="3">
        <v>86.73</v>
      </c>
      <c r="J127" s="3">
        <v>75.09</v>
      </c>
      <c r="K127" s="5">
        <f t="shared" si="8"/>
        <v>9</v>
      </c>
      <c r="L127">
        <v>9</v>
      </c>
      <c r="M127" t="s">
        <v>793</v>
      </c>
      <c r="N127">
        <f t="shared" si="7"/>
        <v>13</v>
      </c>
      <c r="O127" t="str">
        <f t="shared" si="9"/>
        <v>Valid</v>
      </c>
      <c r="P127" s="1" t="str">
        <f>IF(N127&gt;=(VLOOKUP(B127,Lembar2!$B$19:$C$24,2,FALSE)+7),"Delayed","Ontime")</f>
        <v>Ontime</v>
      </c>
      <c r="Q127" s="3">
        <f t="shared" si="10"/>
        <v>37207.17</v>
      </c>
      <c r="R127" s="3">
        <f t="shared" si="11"/>
        <v>32213.61</v>
      </c>
      <c r="S127" s="3">
        <f t="shared" si="12"/>
        <v>4993.5599999999977</v>
      </c>
      <c r="T127">
        <f t="shared" si="13"/>
        <v>1</v>
      </c>
    </row>
    <row r="128" spans="1:20" x14ac:dyDescent="0.25">
      <c r="A128" t="s">
        <v>931</v>
      </c>
      <c r="B128" t="s">
        <v>795</v>
      </c>
      <c r="C128" s="1">
        <v>44970</v>
      </c>
      <c r="D128" s="1">
        <f>IF(E128="",C128+VLOOKUP(B128,Lembar2!$B$19:$C$24,2,FALSE),'Procurement Dataset'!E128)</f>
        <v>44971</v>
      </c>
      <c r="E128" s="1">
        <v>44971</v>
      </c>
      <c r="F128" t="s">
        <v>802</v>
      </c>
      <c r="G128" t="s">
        <v>796</v>
      </c>
      <c r="H128" s="5">
        <v>542</v>
      </c>
      <c r="I128" s="3">
        <v>101.21</v>
      </c>
      <c r="J128" s="3">
        <v>93.11</v>
      </c>
      <c r="K128" s="5">
        <f t="shared" si="8"/>
        <v>78</v>
      </c>
      <c r="L128">
        <v>78</v>
      </c>
      <c r="M128" t="s">
        <v>805</v>
      </c>
      <c r="N128">
        <f t="shared" si="7"/>
        <v>1</v>
      </c>
      <c r="O128" t="str">
        <f t="shared" si="9"/>
        <v>Valid</v>
      </c>
      <c r="P128" s="1" t="str">
        <f>IF(N128&gt;=(VLOOKUP(B128,Lembar2!$B$19:$C$24,2,FALSE)+7),"Delayed","Ontime")</f>
        <v>Ontime</v>
      </c>
      <c r="Q128" s="3">
        <f t="shared" si="10"/>
        <v>54855.82</v>
      </c>
      <c r="R128" s="3">
        <f t="shared" si="11"/>
        <v>50465.62</v>
      </c>
      <c r="S128" s="3">
        <f t="shared" si="12"/>
        <v>4390.1999999999971</v>
      </c>
      <c r="T128">
        <f t="shared" si="13"/>
        <v>1</v>
      </c>
    </row>
    <row r="129" spans="1:20" x14ac:dyDescent="0.25">
      <c r="A129" t="s">
        <v>932</v>
      </c>
      <c r="B129" t="s">
        <v>807</v>
      </c>
      <c r="C129" s="1">
        <v>44932</v>
      </c>
      <c r="D129" s="1">
        <f>IF(E129="",C129+VLOOKUP(B129,Lembar2!$B$19:$C$24,2,FALSE),'Procurement Dataset'!E129)</f>
        <v>44950</v>
      </c>
      <c r="E129" s="1">
        <v>44950</v>
      </c>
      <c r="F129" t="s">
        <v>817</v>
      </c>
      <c r="G129" t="s">
        <v>796</v>
      </c>
      <c r="H129" s="5">
        <v>1114</v>
      </c>
      <c r="I129" s="3">
        <v>91.66</v>
      </c>
      <c r="J129" s="3">
        <v>85.53</v>
      </c>
      <c r="K129" s="5">
        <f t="shared" si="8"/>
        <v>35</v>
      </c>
      <c r="L129">
        <v>35</v>
      </c>
      <c r="M129" t="s">
        <v>793</v>
      </c>
      <c r="N129">
        <f t="shared" si="7"/>
        <v>18</v>
      </c>
      <c r="O129" t="str">
        <f t="shared" si="9"/>
        <v>Valid</v>
      </c>
      <c r="P129" s="1" t="str">
        <f>IF(N129&gt;=(VLOOKUP(B129,Lembar2!$B$19:$C$24,2,FALSE)+7),"Delayed","Ontime")</f>
        <v>Delayed</v>
      </c>
      <c r="Q129" s="3">
        <f t="shared" si="10"/>
        <v>102109.23999999999</v>
      </c>
      <c r="R129" s="3">
        <f t="shared" si="11"/>
        <v>95280.42</v>
      </c>
      <c r="S129" s="3">
        <f t="shared" si="12"/>
        <v>6828.8199999999924</v>
      </c>
      <c r="T129">
        <f t="shared" si="13"/>
        <v>0</v>
      </c>
    </row>
    <row r="130" spans="1:20" x14ac:dyDescent="0.25">
      <c r="A130" t="s">
        <v>933</v>
      </c>
      <c r="B130" t="s">
        <v>790</v>
      </c>
      <c r="C130" s="1">
        <v>44786</v>
      </c>
      <c r="D130" s="1">
        <f>IF(E130="",C130+VLOOKUP(B130,Lembar2!$B$19:$C$24,2,FALSE),'Procurement Dataset'!E130)</f>
        <v>44788</v>
      </c>
      <c r="E130" s="1">
        <v>44788</v>
      </c>
      <c r="F130" t="s">
        <v>799</v>
      </c>
      <c r="G130" t="s">
        <v>796</v>
      </c>
      <c r="H130" s="5">
        <v>1230</v>
      </c>
      <c r="I130" s="3">
        <v>33.39</v>
      </c>
      <c r="J130" s="3">
        <v>30.85</v>
      </c>
      <c r="K130" s="5">
        <f t="shared" si="8"/>
        <v>26</v>
      </c>
      <c r="L130">
        <v>26</v>
      </c>
      <c r="M130" t="s">
        <v>793</v>
      </c>
      <c r="N130">
        <f t="shared" ref="N130:N193" si="14">IF(E130 = "", "", E130-C130)</f>
        <v>2</v>
      </c>
      <c r="O130" t="str">
        <f t="shared" si="9"/>
        <v>Valid</v>
      </c>
      <c r="P130" s="1" t="str">
        <f>IF(N130&gt;=(VLOOKUP(B130,Lembar2!$B$19:$C$24,2,FALSE)+7),"Delayed","Ontime")</f>
        <v>Ontime</v>
      </c>
      <c r="Q130" s="3">
        <f t="shared" si="10"/>
        <v>41069.699999999997</v>
      </c>
      <c r="R130" s="3">
        <f t="shared" si="11"/>
        <v>37945.5</v>
      </c>
      <c r="S130" s="3">
        <f t="shared" si="12"/>
        <v>3124.1999999999971</v>
      </c>
      <c r="T130">
        <f t="shared" si="13"/>
        <v>1</v>
      </c>
    </row>
    <row r="131" spans="1:20" x14ac:dyDescent="0.25">
      <c r="A131" t="s">
        <v>934</v>
      </c>
      <c r="B131" t="s">
        <v>801</v>
      </c>
      <c r="C131" s="1">
        <v>44703</v>
      </c>
      <c r="D131" s="1">
        <f>IF(E131="",C131+VLOOKUP(B131,Lembar2!$B$19:$C$24,2,FALSE),'Procurement Dataset'!E131)</f>
        <v>44715</v>
      </c>
      <c r="E131" s="1">
        <v>44715</v>
      </c>
      <c r="F131" t="s">
        <v>799</v>
      </c>
      <c r="G131" t="s">
        <v>796</v>
      </c>
      <c r="H131" s="5">
        <v>64</v>
      </c>
      <c r="I131" s="3">
        <v>51.56</v>
      </c>
      <c r="J131" s="3">
        <v>50.88</v>
      </c>
      <c r="K131" s="5">
        <f t="shared" ref="K131:K194" si="15">IF(L131="", 0, L131)</f>
        <v>5</v>
      </c>
      <c r="L131">
        <v>5</v>
      </c>
      <c r="M131" t="s">
        <v>793</v>
      </c>
      <c r="N131">
        <f t="shared" si="14"/>
        <v>12</v>
      </c>
      <c r="O131" t="str">
        <f t="shared" ref="O131:O194" si="16">IF(D131&lt;C131,"Invalid","Valid")</f>
        <v>Valid</v>
      </c>
      <c r="P131" s="1" t="str">
        <f>IF(N131&gt;=(VLOOKUP(B131,Lembar2!$B$19:$C$24,2,FALSE)+7),"Delayed","Ontime")</f>
        <v>Ontime</v>
      </c>
      <c r="Q131" s="3">
        <f t="shared" ref="Q131:Q194" si="17">H131*I131</f>
        <v>3299.84</v>
      </c>
      <c r="R131" s="3">
        <f t="shared" ref="R131:R194" si="18">H131*J131</f>
        <v>3256.32</v>
      </c>
      <c r="S131" s="3">
        <f t="shared" ref="S131:S194" si="19">Q131-R131</f>
        <v>43.519999999999982</v>
      </c>
      <c r="T131">
        <f t="shared" ref="T131:T194" si="20">IF(P131="Ontime",1,0)</f>
        <v>1</v>
      </c>
    </row>
    <row r="132" spans="1:20" x14ac:dyDescent="0.25">
      <c r="A132" t="s">
        <v>935</v>
      </c>
      <c r="B132" t="s">
        <v>790</v>
      </c>
      <c r="C132" s="1">
        <v>45083</v>
      </c>
      <c r="D132" s="1">
        <f>IF(E132="",C132+VLOOKUP(B132,Lembar2!$B$19:$C$24,2,FALSE),'Procurement Dataset'!E132)</f>
        <v>45099</v>
      </c>
      <c r="E132" s="1">
        <v>45099</v>
      </c>
      <c r="F132" t="s">
        <v>799</v>
      </c>
      <c r="G132" t="s">
        <v>796</v>
      </c>
      <c r="H132" s="5">
        <v>1886</v>
      </c>
      <c r="I132" s="3">
        <v>23.46</v>
      </c>
      <c r="J132" s="3">
        <v>23.18</v>
      </c>
      <c r="K132" s="5">
        <f t="shared" si="15"/>
        <v>0</v>
      </c>
      <c r="M132" t="s">
        <v>793</v>
      </c>
      <c r="N132">
        <f t="shared" si="14"/>
        <v>16</v>
      </c>
      <c r="O132" t="str">
        <f t="shared" si="16"/>
        <v>Valid</v>
      </c>
      <c r="P132" s="1" t="str">
        <f>IF(N132&gt;=(VLOOKUP(B132,Lembar2!$B$19:$C$24,2,FALSE)+7),"Delayed","Ontime")</f>
        <v>Ontime</v>
      </c>
      <c r="Q132" s="3">
        <f t="shared" si="17"/>
        <v>44245.560000000005</v>
      </c>
      <c r="R132" s="3">
        <f t="shared" si="18"/>
        <v>43717.479999999996</v>
      </c>
      <c r="S132" s="3">
        <f t="shared" si="19"/>
        <v>528.08000000000902</v>
      </c>
      <c r="T132">
        <f t="shared" si="20"/>
        <v>1</v>
      </c>
    </row>
    <row r="133" spans="1:20" x14ac:dyDescent="0.25">
      <c r="A133" t="s">
        <v>936</v>
      </c>
      <c r="B133" t="s">
        <v>795</v>
      </c>
      <c r="C133" s="1">
        <v>45067</v>
      </c>
      <c r="D133" s="1">
        <f>IF(E133="",C133+VLOOKUP(B133,Lembar2!$B$19:$C$24,2,FALSE),'Procurement Dataset'!E133)</f>
        <v>45069</v>
      </c>
      <c r="E133" s="1">
        <v>45069</v>
      </c>
      <c r="F133" t="s">
        <v>791</v>
      </c>
      <c r="G133" t="s">
        <v>796</v>
      </c>
      <c r="H133" s="5">
        <v>114</v>
      </c>
      <c r="I133" s="3">
        <v>103.53</v>
      </c>
      <c r="J133" s="3">
        <v>101.54</v>
      </c>
      <c r="K133" s="5">
        <f t="shared" si="15"/>
        <v>14</v>
      </c>
      <c r="L133">
        <v>14</v>
      </c>
      <c r="M133" t="s">
        <v>793</v>
      </c>
      <c r="N133">
        <f t="shared" si="14"/>
        <v>2</v>
      </c>
      <c r="O133" t="str">
        <f t="shared" si="16"/>
        <v>Valid</v>
      </c>
      <c r="P133" s="1" t="str">
        <f>IF(N133&gt;=(VLOOKUP(B133,Lembar2!$B$19:$C$24,2,FALSE)+7),"Delayed","Ontime")</f>
        <v>Ontime</v>
      </c>
      <c r="Q133" s="3">
        <f t="shared" si="17"/>
        <v>11802.42</v>
      </c>
      <c r="R133" s="3">
        <f t="shared" si="18"/>
        <v>11575.560000000001</v>
      </c>
      <c r="S133" s="3">
        <f t="shared" si="19"/>
        <v>226.85999999999876</v>
      </c>
      <c r="T133">
        <f t="shared" si="20"/>
        <v>1</v>
      </c>
    </row>
    <row r="134" spans="1:20" x14ac:dyDescent="0.25">
      <c r="A134" t="s">
        <v>937</v>
      </c>
      <c r="B134" t="s">
        <v>795</v>
      </c>
      <c r="C134" s="1">
        <v>44655</v>
      </c>
      <c r="D134" s="1">
        <f>IF(E134="",C134+VLOOKUP(B134,Lembar2!$B$19:$C$24,2,FALSE),'Procurement Dataset'!E134)</f>
        <v>44673</v>
      </c>
      <c r="E134" s="1">
        <v>44673</v>
      </c>
      <c r="F134" t="s">
        <v>817</v>
      </c>
      <c r="G134" t="s">
        <v>792</v>
      </c>
      <c r="H134" s="5">
        <v>1930</v>
      </c>
      <c r="I134" s="3">
        <v>65.52</v>
      </c>
      <c r="J134" s="3">
        <v>56.9</v>
      </c>
      <c r="K134" s="5">
        <f t="shared" si="15"/>
        <v>282</v>
      </c>
      <c r="L134">
        <v>282</v>
      </c>
      <c r="M134" t="s">
        <v>793</v>
      </c>
      <c r="N134">
        <f t="shared" si="14"/>
        <v>18</v>
      </c>
      <c r="O134" t="str">
        <f t="shared" si="16"/>
        <v>Valid</v>
      </c>
      <c r="P134" s="1" t="str">
        <f>IF(N134&gt;=(VLOOKUP(B134,Lembar2!$B$19:$C$24,2,FALSE)+7),"Delayed","Ontime")</f>
        <v>Delayed</v>
      </c>
      <c r="Q134" s="3">
        <f t="shared" si="17"/>
        <v>126453.59999999999</v>
      </c>
      <c r="R134" s="3">
        <f t="shared" si="18"/>
        <v>109817</v>
      </c>
      <c r="S134" s="3">
        <f t="shared" si="19"/>
        <v>16636.599999999991</v>
      </c>
      <c r="T134">
        <f t="shared" si="20"/>
        <v>0</v>
      </c>
    </row>
    <row r="135" spans="1:20" x14ac:dyDescent="0.25">
      <c r="A135" t="s">
        <v>938</v>
      </c>
      <c r="B135" t="s">
        <v>801</v>
      </c>
      <c r="C135" s="1">
        <v>44610</v>
      </c>
      <c r="D135" s="1">
        <f>IF(E135="",C135+VLOOKUP(B135,Lembar2!$B$19:$C$24,2,FALSE),'Procurement Dataset'!E135)</f>
        <v>44620</v>
      </c>
      <c r="E135" s="1">
        <v>44620</v>
      </c>
      <c r="F135" t="s">
        <v>791</v>
      </c>
      <c r="G135" t="s">
        <v>813</v>
      </c>
      <c r="H135" s="5">
        <v>1912</v>
      </c>
      <c r="I135" s="3">
        <v>30.73</v>
      </c>
      <c r="J135" s="3">
        <v>29.82</v>
      </c>
      <c r="K135" s="5">
        <f t="shared" si="15"/>
        <v>191</v>
      </c>
      <c r="L135">
        <v>191</v>
      </c>
      <c r="M135" t="s">
        <v>793</v>
      </c>
      <c r="N135">
        <f t="shared" si="14"/>
        <v>10</v>
      </c>
      <c r="O135" t="str">
        <f t="shared" si="16"/>
        <v>Valid</v>
      </c>
      <c r="P135" s="1" t="str">
        <f>IF(N135&gt;=(VLOOKUP(B135,Lembar2!$B$19:$C$24,2,FALSE)+7),"Delayed","Ontime")</f>
        <v>Ontime</v>
      </c>
      <c r="Q135" s="3">
        <f t="shared" si="17"/>
        <v>58755.76</v>
      </c>
      <c r="R135" s="3">
        <f t="shared" si="18"/>
        <v>57015.840000000004</v>
      </c>
      <c r="S135" s="3">
        <f t="shared" si="19"/>
        <v>1739.9199999999983</v>
      </c>
      <c r="T135">
        <f t="shared" si="20"/>
        <v>1</v>
      </c>
    </row>
    <row r="136" spans="1:20" x14ac:dyDescent="0.25">
      <c r="A136" t="s">
        <v>939</v>
      </c>
      <c r="B136" t="s">
        <v>807</v>
      </c>
      <c r="C136" s="1">
        <v>44674</v>
      </c>
      <c r="D136" s="1">
        <f>IF(E136="",C136+VLOOKUP(B136,Lembar2!$B$19:$C$24,2,FALSE),'Procurement Dataset'!E136)</f>
        <v>44690</v>
      </c>
      <c r="E136" s="1">
        <v>44690</v>
      </c>
      <c r="F136" t="s">
        <v>799</v>
      </c>
      <c r="G136" t="s">
        <v>796</v>
      </c>
      <c r="H136" s="5">
        <v>570</v>
      </c>
      <c r="I136" s="3">
        <v>71.510000000000005</v>
      </c>
      <c r="J136" s="3">
        <v>66.47</v>
      </c>
      <c r="K136" s="5">
        <f t="shared" si="15"/>
        <v>0</v>
      </c>
      <c r="M136" t="s">
        <v>793</v>
      </c>
      <c r="N136">
        <f t="shared" si="14"/>
        <v>16</v>
      </c>
      <c r="O136" t="str">
        <f t="shared" si="16"/>
        <v>Valid</v>
      </c>
      <c r="P136" s="1" t="str">
        <f>IF(N136&gt;=(VLOOKUP(B136,Lembar2!$B$19:$C$24,2,FALSE)+7),"Delayed","Ontime")</f>
        <v>Ontime</v>
      </c>
      <c r="Q136" s="3">
        <f t="shared" si="17"/>
        <v>40760.700000000004</v>
      </c>
      <c r="R136" s="3">
        <f t="shared" si="18"/>
        <v>37887.9</v>
      </c>
      <c r="S136" s="3">
        <f t="shared" si="19"/>
        <v>2872.8000000000029</v>
      </c>
      <c r="T136">
        <f t="shared" si="20"/>
        <v>1</v>
      </c>
    </row>
    <row r="137" spans="1:20" x14ac:dyDescent="0.25">
      <c r="A137" t="s">
        <v>940</v>
      </c>
      <c r="B137" t="s">
        <v>801</v>
      </c>
      <c r="C137" s="1">
        <v>44718</v>
      </c>
      <c r="D137" s="1">
        <f>IF(E137="",C137+VLOOKUP(B137,Lembar2!$B$19:$C$24,2,FALSE),'Procurement Dataset'!E137)</f>
        <v>44738</v>
      </c>
      <c r="E137" s="1">
        <v>44738</v>
      </c>
      <c r="F137" t="s">
        <v>804</v>
      </c>
      <c r="G137" t="s">
        <v>796</v>
      </c>
      <c r="H137" s="5">
        <v>1417</v>
      </c>
      <c r="I137" s="3">
        <v>67.27</v>
      </c>
      <c r="J137" s="3">
        <v>60.62</v>
      </c>
      <c r="K137" s="5">
        <f t="shared" si="15"/>
        <v>0</v>
      </c>
      <c r="M137" t="s">
        <v>793</v>
      </c>
      <c r="N137">
        <f t="shared" si="14"/>
        <v>20</v>
      </c>
      <c r="O137" t="str">
        <f t="shared" si="16"/>
        <v>Valid</v>
      </c>
      <c r="P137" s="1" t="str">
        <f>IF(N137&gt;=(VLOOKUP(B137,Lembar2!$B$19:$C$24,2,FALSE)+7),"Delayed","Ontime")</f>
        <v>Delayed</v>
      </c>
      <c r="Q137" s="3">
        <f t="shared" si="17"/>
        <v>95321.59</v>
      </c>
      <c r="R137" s="3">
        <f t="shared" si="18"/>
        <v>85898.54</v>
      </c>
      <c r="S137" s="3">
        <f t="shared" si="19"/>
        <v>9423.0500000000029</v>
      </c>
      <c r="T137">
        <f t="shared" si="20"/>
        <v>0</v>
      </c>
    </row>
    <row r="138" spans="1:20" x14ac:dyDescent="0.25">
      <c r="A138" t="s">
        <v>941</v>
      </c>
      <c r="B138" t="s">
        <v>790</v>
      </c>
      <c r="C138" s="1">
        <v>45204</v>
      </c>
      <c r="D138" s="1">
        <f>IF(E138="",C138+VLOOKUP(B138,Lembar2!$B$19:$C$24,2,FALSE),'Procurement Dataset'!E138)</f>
        <v>45210</v>
      </c>
      <c r="E138" s="1">
        <v>45210</v>
      </c>
      <c r="F138" t="s">
        <v>804</v>
      </c>
      <c r="G138" t="s">
        <v>796</v>
      </c>
      <c r="H138" s="5">
        <v>1202</v>
      </c>
      <c r="I138" s="3">
        <v>46.67</v>
      </c>
      <c r="J138" s="3">
        <v>44.13</v>
      </c>
      <c r="K138" s="5">
        <f t="shared" si="15"/>
        <v>21</v>
      </c>
      <c r="L138">
        <v>21</v>
      </c>
      <c r="M138" t="s">
        <v>805</v>
      </c>
      <c r="N138">
        <f t="shared" si="14"/>
        <v>6</v>
      </c>
      <c r="O138" t="str">
        <f t="shared" si="16"/>
        <v>Valid</v>
      </c>
      <c r="P138" s="1" t="str">
        <f>IF(N138&gt;=(VLOOKUP(B138,Lembar2!$B$19:$C$24,2,FALSE)+7),"Delayed","Ontime")</f>
        <v>Ontime</v>
      </c>
      <c r="Q138" s="3">
        <f t="shared" si="17"/>
        <v>56097.340000000004</v>
      </c>
      <c r="R138" s="3">
        <f t="shared" si="18"/>
        <v>53044.26</v>
      </c>
      <c r="S138" s="3">
        <f t="shared" si="19"/>
        <v>3053.0800000000017</v>
      </c>
      <c r="T138">
        <f t="shared" si="20"/>
        <v>1</v>
      </c>
    </row>
    <row r="139" spans="1:20" x14ac:dyDescent="0.25">
      <c r="A139" t="s">
        <v>942</v>
      </c>
      <c r="B139" t="s">
        <v>801</v>
      </c>
      <c r="C139" s="1">
        <v>44725</v>
      </c>
      <c r="D139" s="1">
        <f>IF(E139="",C139+VLOOKUP(B139,Lembar2!$B$19:$C$24,2,FALSE),'Procurement Dataset'!E139)</f>
        <v>44726</v>
      </c>
      <c r="E139" s="1">
        <v>44726</v>
      </c>
      <c r="F139" t="s">
        <v>791</v>
      </c>
      <c r="G139" t="s">
        <v>796</v>
      </c>
      <c r="H139" s="5">
        <v>697</v>
      </c>
      <c r="I139" s="3">
        <v>20.73</v>
      </c>
      <c r="J139" s="3">
        <v>19.829999999999998</v>
      </c>
      <c r="K139" s="5">
        <f t="shared" si="15"/>
        <v>78</v>
      </c>
      <c r="L139">
        <v>78</v>
      </c>
      <c r="M139" t="s">
        <v>805</v>
      </c>
      <c r="N139">
        <f t="shared" si="14"/>
        <v>1</v>
      </c>
      <c r="O139" t="str">
        <f t="shared" si="16"/>
        <v>Valid</v>
      </c>
      <c r="P139" s="1" t="str">
        <f>IF(N139&gt;=(VLOOKUP(B139,Lembar2!$B$19:$C$24,2,FALSE)+7),"Delayed","Ontime")</f>
        <v>Ontime</v>
      </c>
      <c r="Q139" s="3">
        <f t="shared" si="17"/>
        <v>14448.81</v>
      </c>
      <c r="R139" s="3">
        <f t="shared" si="18"/>
        <v>13821.509999999998</v>
      </c>
      <c r="S139" s="3">
        <f t="shared" si="19"/>
        <v>627.30000000000109</v>
      </c>
      <c r="T139">
        <f t="shared" si="20"/>
        <v>1</v>
      </c>
    </row>
    <row r="140" spans="1:20" x14ac:dyDescent="0.25">
      <c r="A140" t="s">
        <v>943</v>
      </c>
      <c r="B140" t="s">
        <v>807</v>
      </c>
      <c r="C140" s="1">
        <v>45258</v>
      </c>
      <c r="D140" s="1">
        <f>IF(E140="",C140+VLOOKUP(B140,Lembar2!$B$19:$C$24,2,FALSE),'Procurement Dataset'!E140)</f>
        <v>45261</v>
      </c>
      <c r="E140" s="1">
        <v>45261</v>
      </c>
      <c r="F140" t="s">
        <v>799</v>
      </c>
      <c r="G140" t="s">
        <v>796</v>
      </c>
      <c r="H140" s="5">
        <v>1545</v>
      </c>
      <c r="I140" s="3">
        <v>78.19</v>
      </c>
      <c r="J140" s="3">
        <v>76.91</v>
      </c>
      <c r="K140" s="5">
        <f t="shared" si="15"/>
        <v>42</v>
      </c>
      <c r="L140">
        <v>42</v>
      </c>
      <c r="M140" t="s">
        <v>793</v>
      </c>
      <c r="N140">
        <f t="shared" si="14"/>
        <v>3</v>
      </c>
      <c r="O140" t="str">
        <f t="shared" si="16"/>
        <v>Valid</v>
      </c>
      <c r="P140" s="1" t="str">
        <f>IF(N140&gt;=(VLOOKUP(B140,Lembar2!$B$19:$C$24,2,FALSE)+7),"Delayed","Ontime")</f>
        <v>Ontime</v>
      </c>
      <c r="Q140" s="3">
        <f t="shared" si="17"/>
        <v>120803.55</v>
      </c>
      <c r="R140" s="3">
        <f t="shared" si="18"/>
        <v>118825.95</v>
      </c>
      <c r="S140" s="3">
        <f t="shared" si="19"/>
        <v>1977.6000000000058</v>
      </c>
      <c r="T140">
        <f t="shared" si="20"/>
        <v>1</v>
      </c>
    </row>
    <row r="141" spans="1:20" x14ac:dyDescent="0.25">
      <c r="A141" t="s">
        <v>944</v>
      </c>
      <c r="B141" t="s">
        <v>798</v>
      </c>
      <c r="C141" s="1">
        <v>44994</v>
      </c>
      <c r="D141" s="1">
        <f>IF(E141="",C141+VLOOKUP(B141,Lembar2!$B$19:$C$24,2,FALSE),'Procurement Dataset'!E141)</f>
        <v>44998</v>
      </c>
      <c r="E141" s="1">
        <v>44998</v>
      </c>
      <c r="F141" t="s">
        <v>799</v>
      </c>
      <c r="G141" t="s">
        <v>811</v>
      </c>
      <c r="H141" s="5">
        <v>1136</v>
      </c>
      <c r="I141" s="3">
        <v>60.81</v>
      </c>
      <c r="J141" s="3">
        <v>58.25</v>
      </c>
      <c r="K141" s="5">
        <f t="shared" si="15"/>
        <v>62</v>
      </c>
      <c r="L141">
        <v>62</v>
      </c>
      <c r="M141" t="s">
        <v>793</v>
      </c>
      <c r="N141">
        <f t="shared" si="14"/>
        <v>4</v>
      </c>
      <c r="O141" t="str">
        <f t="shared" si="16"/>
        <v>Valid</v>
      </c>
      <c r="P141" s="1" t="str">
        <f>IF(N141&gt;=(VLOOKUP(B141,Lembar2!$B$19:$C$24,2,FALSE)+7),"Delayed","Ontime")</f>
        <v>Ontime</v>
      </c>
      <c r="Q141" s="3">
        <f t="shared" si="17"/>
        <v>69080.160000000003</v>
      </c>
      <c r="R141" s="3">
        <f t="shared" si="18"/>
        <v>66172</v>
      </c>
      <c r="S141" s="3">
        <f t="shared" si="19"/>
        <v>2908.1600000000035</v>
      </c>
      <c r="T141">
        <f t="shared" si="20"/>
        <v>1</v>
      </c>
    </row>
    <row r="142" spans="1:20" x14ac:dyDescent="0.25">
      <c r="A142" t="s">
        <v>945</v>
      </c>
      <c r="B142" t="s">
        <v>801</v>
      </c>
      <c r="C142" s="1">
        <v>45172</v>
      </c>
      <c r="D142" s="1">
        <f>IF(E142="",C142+VLOOKUP(B142,Lembar2!$B$19:$C$24,2,FALSE),'Procurement Dataset'!E142)</f>
        <v>45176</v>
      </c>
      <c r="E142" s="1">
        <v>45176</v>
      </c>
      <c r="F142" t="s">
        <v>799</v>
      </c>
      <c r="G142" t="s">
        <v>796</v>
      </c>
      <c r="H142" s="5">
        <v>1212</v>
      </c>
      <c r="I142" s="3">
        <v>87.46</v>
      </c>
      <c r="J142" s="3">
        <v>74.55</v>
      </c>
      <c r="K142" s="5">
        <f t="shared" si="15"/>
        <v>118</v>
      </c>
      <c r="L142">
        <v>118</v>
      </c>
      <c r="M142" t="s">
        <v>805</v>
      </c>
      <c r="N142">
        <f t="shared" si="14"/>
        <v>4</v>
      </c>
      <c r="O142" t="str">
        <f t="shared" si="16"/>
        <v>Valid</v>
      </c>
      <c r="P142" s="1" t="str">
        <f>IF(N142&gt;=(VLOOKUP(B142,Lembar2!$B$19:$C$24,2,FALSE)+7),"Delayed","Ontime")</f>
        <v>Ontime</v>
      </c>
      <c r="Q142" s="3">
        <f t="shared" si="17"/>
        <v>106001.51999999999</v>
      </c>
      <c r="R142" s="3">
        <f t="shared" si="18"/>
        <v>90354.599999999991</v>
      </c>
      <c r="S142" s="3">
        <f t="shared" si="19"/>
        <v>15646.919999999998</v>
      </c>
      <c r="T142">
        <f t="shared" si="20"/>
        <v>1</v>
      </c>
    </row>
    <row r="143" spans="1:20" x14ac:dyDescent="0.25">
      <c r="A143" t="s">
        <v>946</v>
      </c>
      <c r="B143" t="s">
        <v>807</v>
      </c>
      <c r="C143" s="1">
        <v>44627</v>
      </c>
      <c r="D143" s="1">
        <f>IF(E143="",C143+VLOOKUP(B143,Lembar2!$B$19:$C$24,2,FALSE),'Procurement Dataset'!E143)</f>
        <v>44632</v>
      </c>
      <c r="E143" s="1">
        <v>44632</v>
      </c>
      <c r="F143" t="s">
        <v>799</v>
      </c>
      <c r="G143" t="s">
        <v>796</v>
      </c>
      <c r="H143" s="5">
        <v>1572</v>
      </c>
      <c r="I143" s="3">
        <v>57.38</v>
      </c>
      <c r="J143" s="3">
        <v>49.32</v>
      </c>
      <c r="K143" s="5">
        <f t="shared" si="15"/>
        <v>40</v>
      </c>
      <c r="L143">
        <v>40</v>
      </c>
      <c r="M143" t="s">
        <v>793</v>
      </c>
      <c r="N143">
        <f t="shared" si="14"/>
        <v>5</v>
      </c>
      <c r="O143" t="str">
        <f t="shared" si="16"/>
        <v>Valid</v>
      </c>
      <c r="P143" s="1" t="str">
        <f>IF(N143&gt;=(VLOOKUP(B143,Lembar2!$B$19:$C$24,2,FALSE)+7),"Delayed","Ontime")</f>
        <v>Ontime</v>
      </c>
      <c r="Q143" s="3">
        <f t="shared" si="17"/>
        <v>90201.36</v>
      </c>
      <c r="R143" s="3">
        <f t="shared" si="18"/>
        <v>77531.039999999994</v>
      </c>
      <c r="S143" s="3">
        <f t="shared" si="19"/>
        <v>12670.320000000007</v>
      </c>
      <c r="T143">
        <f t="shared" si="20"/>
        <v>1</v>
      </c>
    </row>
    <row r="144" spans="1:20" x14ac:dyDescent="0.25">
      <c r="A144" t="s">
        <v>947</v>
      </c>
      <c r="B144" t="s">
        <v>798</v>
      </c>
      <c r="C144" s="1">
        <v>44956</v>
      </c>
      <c r="D144" s="1">
        <f>IF(E144="",C144+VLOOKUP(B144,Lembar2!$B$19:$C$24,2,FALSE),'Procurement Dataset'!E144)</f>
        <v>44966</v>
      </c>
      <c r="E144" s="1">
        <v>44966</v>
      </c>
      <c r="F144" t="s">
        <v>817</v>
      </c>
      <c r="G144" t="s">
        <v>796</v>
      </c>
      <c r="H144" s="5">
        <v>642</v>
      </c>
      <c r="I144" s="3">
        <v>91.9</v>
      </c>
      <c r="J144" s="3">
        <v>81.489999999999995</v>
      </c>
      <c r="K144" s="5">
        <f t="shared" si="15"/>
        <v>26</v>
      </c>
      <c r="L144">
        <v>26</v>
      </c>
      <c r="M144" t="s">
        <v>793</v>
      </c>
      <c r="N144">
        <f t="shared" si="14"/>
        <v>10</v>
      </c>
      <c r="O144" t="str">
        <f t="shared" si="16"/>
        <v>Valid</v>
      </c>
      <c r="P144" s="1" t="str">
        <f>IF(N144&gt;=(VLOOKUP(B144,Lembar2!$B$19:$C$24,2,FALSE)+7),"Delayed","Ontime")</f>
        <v>Ontime</v>
      </c>
      <c r="Q144" s="3">
        <f t="shared" si="17"/>
        <v>58999.8</v>
      </c>
      <c r="R144" s="3">
        <f t="shared" si="18"/>
        <v>52316.579999999994</v>
      </c>
      <c r="S144" s="3">
        <f t="shared" si="19"/>
        <v>6683.2200000000084</v>
      </c>
      <c r="T144">
        <f t="shared" si="20"/>
        <v>1</v>
      </c>
    </row>
    <row r="145" spans="1:20" x14ac:dyDescent="0.25">
      <c r="A145" t="s">
        <v>948</v>
      </c>
      <c r="B145" t="s">
        <v>807</v>
      </c>
      <c r="C145" s="1">
        <v>44952</v>
      </c>
      <c r="D145" s="1">
        <f>IF(E145="",C145+VLOOKUP(B145,Lembar2!$B$19:$C$24,2,FALSE),'Procurement Dataset'!E145)</f>
        <v>44961</v>
      </c>
      <c r="E145" s="1">
        <v>44961</v>
      </c>
      <c r="F145" t="s">
        <v>791</v>
      </c>
      <c r="G145" t="s">
        <v>796</v>
      </c>
      <c r="H145" s="5">
        <v>441</v>
      </c>
      <c r="I145" s="3">
        <v>63.25</v>
      </c>
      <c r="J145" s="3">
        <v>54.12</v>
      </c>
      <c r="K145" s="5">
        <f t="shared" si="15"/>
        <v>16</v>
      </c>
      <c r="L145">
        <v>16</v>
      </c>
      <c r="M145" t="s">
        <v>793</v>
      </c>
      <c r="N145">
        <f t="shared" si="14"/>
        <v>9</v>
      </c>
      <c r="O145" t="str">
        <f t="shared" si="16"/>
        <v>Valid</v>
      </c>
      <c r="P145" s="1" t="str">
        <f>IF(N145&gt;=(VLOOKUP(B145,Lembar2!$B$19:$C$24,2,FALSE)+7),"Delayed","Ontime")</f>
        <v>Ontime</v>
      </c>
      <c r="Q145" s="3">
        <f t="shared" si="17"/>
        <v>27893.25</v>
      </c>
      <c r="R145" s="3">
        <f t="shared" si="18"/>
        <v>23866.92</v>
      </c>
      <c r="S145" s="3">
        <f t="shared" si="19"/>
        <v>4026.3300000000017</v>
      </c>
      <c r="T145">
        <f t="shared" si="20"/>
        <v>1</v>
      </c>
    </row>
    <row r="146" spans="1:20" x14ac:dyDescent="0.25">
      <c r="A146" t="s">
        <v>949</v>
      </c>
      <c r="B146" t="s">
        <v>807</v>
      </c>
      <c r="C146" s="1">
        <v>45172</v>
      </c>
      <c r="D146" s="1">
        <f>IF(E146="",C146+VLOOKUP(B146,Lembar2!$B$19:$C$24,2,FALSE),'Procurement Dataset'!E146)</f>
        <v>45188</v>
      </c>
      <c r="E146" s="1">
        <v>45188</v>
      </c>
      <c r="F146" t="s">
        <v>791</v>
      </c>
      <c r="G146" t="s">
        <v>796</v>
      </c>
      <c r="H146" s="5">
        <v>1748</v>
      </c>
      <c r="I146" s="3">
        <v>66.53</v>
      </c>
      <c r="J146" s="3">
        <v>57.11</v>
      </c>
      <c r="K146" s="5">
        <f t="shared" si="15"/>
        <v>0</v>
      </c>
      <c r="M146" t="s">
        <v>793</v>
      </c>
      <c r="N146">
        <f t="shared" si="14"/>
        <v>16</v>
      </c>
      <c r="O146" t="str">
        <f t="shared" si="16"/>
        <v>Valid</v>
      </c>
      <c r="P146" s="1" t="str">
        <f>IF(N146&gt;=(VLOOKUP(B146,Lembar2!$B$19:$C$24,2,FALSE)+7),"Delayed","Ontime")</f>
        <v>Ontime</v>
      </c>
      <c r="Q146" s="3">
        <f t="shared" si="17"/>
        <v>116294.44</v>
      </c>
      <c r="R146" s="3">
        <f t="shared" si="18"/>
        <v>99828.28</v>
      </c>
      <c r="S146" s="3">
        <f t="shared" si="19"/>
        <v>16466.160000000003</v>
      </c>
      <c r="T146">
        <f t="shared" si="20"/>
        <v>1</v>
      </c>
    </row>
    <row r="147" spans="1:20" x14ac:dyDescent="0.25">
      <c r="A147" t="s">
        <v>950</v>
      </c>
      <c r="B147" t="s">
        <v>798</v>
      </c>
      <c r="C147" s="1">
        <v>45041</v>
      </c>
      <c r="D147" s="1">
        <f>IF(E147="",C147+VLOOKUP(B147,Lembar2!$B$19:$C$24,2,FALSE),'Procurement Dataset'!E147)</f>
        <v>45051</v>
      </c>
      <c r="F147" t="s">
        <v>817</v>
      </c>
      <c r="G147" t="s">
        <v>813</v>
      </c>
      <c r="H147" s="5">
        <v>468</v>
      </c>
      <c r="I147" s="3">
        <v>95.57</v>
      </c>
      <c r="J147" s="3">
        <v>91.8</v>
      </c>
      <c r="K147" s="5">
        <f t="shared" si="15"/>
        <v>24</v>
      </c>
      <c r="L147">
        <v>24</v>
      </c>
      <c r="M147" t="s">
        <v>793</v>
      </c>
      <c r="N147" t="str">
        <f t="shared" si="14"/>
        <v/>
      </c>
      <c r="O147" t="str">
        <f t="shared" si="16"/>
        <v>Valid</v>
      </c>
      <c r="P147" s="1" t="str">
        <f>IF(N147&gt;=(VLOOKUP(B147,Lembar2!$B$19:$C$24,2,FALSE)+7),"Delayed","Ontime")</f>
        <v>Delayed</v>
      </c>
      <c r="Q147" s="3">
        <f t="shared" si="17"/>
        <v>44726.759999999995</v>
      </c>
      <c r="R147" s="3">
        <f t="shared" si="18"/>
        <v>42962.400000000001</v>
      </c>
      <c r="S147" s="3">
        <f t="shared" si="19"/>
        <v>1764.3599999999933</v>
      </c>
      <c r="T147">
        <f t="shared" si="20"/>
        <v>0</v>
      </c>
    </row>
    <row r="148" spans="1:20" x14ac:dyDescent="0.25">
      <c r="A148" t="s">
        <v>951</v>
      </c>
      <c r="B148" t="s">
        <v>801</v>
      </c>
      <c r="C148" s="1">
        <v>45103</v>
      </c>
      <c r="D148" s="1">
        <f>IF(E148="",C148+VLOOKUP(B148,Lembar2!$B$19:$C$24,2,FALSE),'Procurement Dataset'!E148)</f>
        <v>45121</v>
      </c>
      <c r="E148" s="1">
        <v>45121</v>
      </c>
      <c r="F148" t="s">
        <v>804</v>
      </c>
      <c r="G148" t="s">
        <v>796</v>
      </c>
      <c r="H148" s="5">
        <v>338</v>
      </c>
      <c r="I148" s="3">
        <v>50.25</v>
      </c>
      <c r="J148" s="3">
        <v>46.28</v>
      </c>
      <c r="K148" s="5">
        <f t="shared" si="15"/>
        <v>49</v>
      </c>
      <c r="L148">
        <v>49</v>
      </c>
      <c r="M148" t="s">
        <v>805</v>
      </c>
      <c r="N148">
        <f t="shared" si="14"/>
        <v>18</v>
      </c>
      <c r="O148" t="str">
        <f t="shared" si="16"/>
        <v>Valid</v>
      </c>
      <c r="P148" s="1" t="str">
        <f>IF(N148&gt;=(VLOOKUP(B148,Lembar2!$B$19:$C$24,2,FALSE)+7),"Delayed","Ontime")</f>
        <v>Ontime</v>
      </c>
      <c r="Q148" s="3">
        <f t="shared" si="17"/>
        <v>16984.5</v>
      </c>
      <c r="R148" s="3">
        <f t="shared" si="18"/>
        <v>15642.640000000001</v>
      </c>
      <c r="S148" s="3">
        <f t="shared" si="19"/>
        <v>1341.8599999999988</v>
      </c>
      <c r="T148">
        <f t="shared" si="20"/>
        <v>1</v>
      </c>
    </row>
    <row r="149" spans="1:20" x14ac:dyDescent="0.25">
      <c r="A149" t="s">
        <v>952</v>
      </c>
      <c r="B149" t="s">
        <v>798</v>
      </c>
      <c r="C149" s="1">
        <v>44819</v>
      </c>
      <c r="D149" s="1">
        <f>IF(E149="",C149+VLOOKUP(B149,Lembar2!$B$19:$C$24,2,FALSE),'Procurement Dataset'!E149)</f>
        <v>44826</v>
      </c>
      <c r="E149" s="1">
        <v>44826</v>
      </c>
      <c r="F149" t="s">
        <v>791</v>
      </c>
      <c r="G149" t="s">
        <v>796</v>
      </c>
      <c r="H149" s="5">
        <v>428</v>
      </c>
      <c r="I149" s="3">
        <v>22.94</v>
      </c>
      <c r="J149" s="3">
        <v>21.52</v>
      </c>
      <c r="K149" s="5">
        <f t="shared" si="15"/>
        <v>26</v>
      </c>
      <c r="L149">
        <v>26</v>
      </c>
      <c r="M149" t="s">
        <v>793</v>
      </c>
      <c r="N149">
        <f t="shared" si="14"/>
        <v>7</v>
      </c>
      <c r="O149" t="str">
        <f t="shared" si="16"/>
        <v>Valid</v>
      </c>
      <c r="P149" s="1" t="str">
        <f>IF(N149&gt;=(VLOOKUP(B149,Lembar2!$B$19:$C$24,2,FALSE)+7),"Delayed","Ontime")</f>
        <v>Ontime</v>
      </c>
      <c r="Q149" s="3">
        <f t="shared" si="17"/>
        <v>9818.32</v>
      </c>
      <c r="R149" s="3">
        <f t="shared" si="18"/>
        <v>9210.56</v>
      </c>
      <c r="S149" s="3">
        <f t="shared" si="19"/>
        <v>607.76000000000022</v>
      </c>
      <c r="T149">
        <f t="shared" si="20"/>
        <v>1</v>
      </c>
    </row>
    <row r="150" spans="1:20" x14ac:dyDescent="0.25">
      <c r="A150" t="s">
        <v>953</v>
      </c>
      <c r="B150" t="s">
        <v>801</v>
      </c>
      <c r="C150" s="1">
        <v>45128</v>
      </c>
      <c r="D150" s="1">
        <f>IF(E150="",C150+VLOOKUP(B150,Lembar2!$B$19:$C$24,2,FALSE),'Procurement Dataset'!E150)</f>
        <v>45140</v>
      </c>
      <c r="F150" t="s">
        <v>802</v>
      </c>
      <c r="G150" t="s">
        <v>796</v>
      </c>
      <c r="H150" s="5">
        <v>1846</v>
      </c>
      <c r="I150" s="3">
        <v>13.72</v>
      </c>
      <c r="J150" s="3">
        <v>12.62</v>
      </c>
      <c r="K150" s="5">
        <f t="shared" si="15"/>
        <v>216</v>
      </c>
      <c r="L150">
        <v>216</v>
      </c>
      <c r="M150" t="s">
        <v>793</v>
      </c>
      <c r="N150" t="str">
        <f t="shared" si="14"/>
        <v/>
      </c>
      <c r="O150" t="str">
        <f t="shared" si="16"/>
        <v>Valid</v>
      </c>
      <c r="P150" s="1" t="str">
        <f>IF(N150&gt;=(VLOOKUP(B150,Lembar2!$B$19:$C$24,2,FALSE)+7),"Delayed","Ontime")</f>
        <v>Delayed</v>
      </c>
      <c r="Q150" s="3">
        <f t="shared" si="17"/>
        <v>25327.120000000003</v>
      </c>
      <c r="R150" s="3">
        <f t="shared" si="18"/>
        <v>23296.519999999997</v>
      </c>
      <c r="S150" s="3">
        <f t="shared" si="19"/>
        <v>2030.6000000000058</v>
      </c>
      <c r="T150">
        <f t="shared" si="20"/>
        <v>0</v>
      </c>
    </row>
    <row r="151" spans="1:20" x14ac:dyDescent="0.25">
      <c r="A151" t="s">
        <v>954</v>
      </c>
      <c r="B151" t="s">
        <v>807</v>
      </c>
      <c r="C151" s="1">
        <v>44573</v>
      </c>
      <c r="D151" s="1">
        <f>IF(E151="",C151+VLOOKUP(B151,Lembar2!$B$19:$C$24,2,FALSE),'Procurement Dataset'!E151)</f>
        <v>44578</v>
      </c>
      <c r="E151" s="1">
        <v>44578</v>
      </c>
      <c r="F151" t="s">
        <v>791</v>
      </c>
      <c r="G151" t="s">
        <v>796</v>
      </c>
      <c r="H151" s="5">
        <v>1563</v>
      </c>
      <c r="I151" s="3">
        <v>77.959999999999994</v>
      </c>
      <c r="J151" s="3">
        <v>70.8</v>
      </c>
      <c r="K151" s="5">
        <f t="shared" si="15"/>
        <v>41</v>
      </c>
      <c r="L151">
        <v>41</v>
      </c>
      <c r="M151" t="s">
        <v>793</v>
      </c>
      <c r="N151">
        <f t="shared" si="14"/>
        <v>5</v>
      </c>
      <c r="O151" t="str">
        <f t="shared" si="16"/>
        <v>Valid</v>
      </c>
      <c r="P151" s="1" t="str">
        <f>IF(N151&gt;=(VLOOKUP(B151,Lembar2!$B$19:$C$24,2,FALSE)+7),"Delayed","Ontime")</f>
        <v>Ontime</v>
      </c>
      <c r="Q151" s="3">
        <f t="shared" si="17"/>
        <v>121851.48</v>
      </c>
      <c r="R151" s="3">
        <f t="shared" si="18"/>
        <v>110660.4</v>
      </c>
      <c r="S151" s="3">
        <f t="shared" si="19"/>
        <v>11191.080000000002</v>
      </c>
      <c r="T151">
        <f t="shared" si="20"/>
        <v>1</v>
      </c>
    </row>
    <row r="152" spans="1:20" x14ac:dyDescent="0.25">
      <c r="A152" t="s">
        <v>955</v>
      </c>
      <c r="B152" t="s">
        <v>801</v>
      </c>
      <c r="C152" s="1">
        <v>45258</v>
      </c>
      <c r="D152" s="1">
        <f>IF(E152="",C152+VLOOKUP(B152,Lembar2!$B$19:$C$24,2,FALSE),'Procurement Dataset'!E152)</f>
        <v>45267</v>
      </c>
      <c r="E152" s="1">
        <v>45267</v>
      </c>
      <c r="F152" t="s">
        <v>791</v>
      </c>
      <c r="G152" t="s">
        <v>796</v>
      </c>
      <c r="H152" s="5">
        <v>280</v>
      </c>
      <c r="I152" s="3">
        <v>73.069999999999993</v>
      </c>
      <c r="J152" s="3">
        <v>69.290000000000006</v>
      </c>
      <c r="K152" s="5">
        <f t="shared" si="15"/>
        <v>30</v>
      </c>
      <c r="L152">
        <v>30</v>
      </c>
      <c r="M152" t="s">
        <v>793</v>
      </c>
      <c r="N152">
        <f t="shared" si="14"/>
        <v>9</v>
      </c>
      <c r="O152" t="str">
        <f t="shared" si="16"/>
        <v>Valid</v>
      </c>
      <c r="P152" s="1" t="str">
        <f>IF(N152&gt;=(VLOOKUP(B152,Lembar2!$B$19:$C$24,2,FALSE)+7),"Delayed","Ontime")</f>
        <v>Ontime</v>
      </c>
      <c r="Q152" s="3">
        <f t="shared" si="17"/>
        <v>20459.599999999999</v>
      </c>
      <c r="R152" s="3">
        <f t="shared" si="18"/>
        <v>19401.2</v>
      </c>
      <c r="S152" s="3">
        <f t="shared" si="19"/>
        <v>1058.3999999999978</v>
      </c>
      <c r="T152">
        <f t="shared" si="20"/>
        <v>1</v>
      </c>
    </row>
    <row r="153" spans="1:20" x14ac:dyDescent="0.25">
      <c r="A153" t="s">
        <v>956</v>
      </c>
      <c r="B153" t="s">
        <v>795</v>
      </c>
      <c r="C153" s="1">
        <v>44679</v>
      </c>
      <c r="D153" s="1">
        <f>IF(E153="",C153+VLOOKUP(B153,Lembar2!$B$19:$C$24,2,FALSE),'Procurement Dataset'!E153)</f>
        <v>44693</v>
      </c>
      <c r="E153" s="1">
        <v>44693</v>
      </c>
      <c r="F153" t="s">
        <v>804</v>
      </c>
      <c r="G153" t="s">
        <v>796</v>
      </c>
      <c r="H153" s="5">
        <v>1067</v>
      </c>
      <c r="I153" s="3">
        <v>74.47</v>
      </c>
      <c r="J153" s="3">
        <v>64.16</v>
      </c>
      <c r="K153" s="5">
        <f t="shared" si="15"/>
        <v>0</v>
      </c>
      <c r="M153" t="s">
        <v>805</v>
      </c>
      <c r="N153">
        <f t="shared" si="14"/>
        <v>14</v>
      </c>
      <c r="O153" t="str">
        <f t="shared" si="16"/>
        <v>Valid</v>
      </c>
      <c r="P153" s="1" t="str">
        <f>IF(N153&gt;=(VLOOKUP(B153,Lembar2!$B$19:$C$24,2,FALSE)+7),"Delayed","Ontime")</f>
        <v>Ontime</v>
      </c>
      <c r="Q153" s="3">
        <f t="shared" si="17"/>
        <v>79459.490000000005</v>
      </c>
      <c r="R153" s="3">
        <f t="shared" si="18"/>
        <v>68458.720000000001</v>
      </c>
      <c r="S153" s="3">
        <f t="shared" si="19"/>
        <v>11000.770000000004</v>
      </c>
      <c r="T153">
        <f t="shared" si="20"/>
        <v>1</v>
      </c>
    </row>
    <row r="154" spans="1:20" x14ac:dyDescent="0.25">
      <c r="A154" t="s">
        <v>957</v>
      </c>
      <c r="B154" t="s">
        <v>798</v>
      </c>
      <c r="C154" s="1">
        <v>45260</v>
      </c>
      <c r="D154" s="1">
        <f>IF(E154="",C154+VLOOKUP(B154,Lembar2!$B$19:$C$24,2,FALSE),'Procurement Dataset'!E154)</f>
        <v>45277</v>
      </c>
      <c r="E154" s="1">
        <v>45277</v>
      </c>
      <c r="F154" t="s">
        <v>817</v>
      </c>
      <c r="G154" t="s">
        <v>813</v>
      </c>
      <c r="H154" s="5">
        <v>90</v>
      </c>
      <c r="I154" s="3">
        <v>32.380000000000003</v>
      </c>
      <c r="J154" s="3">
        <v>29.96</v>
      </c>
      <c r="K154" s="5">
        <f t="shared" si="15"/>
        <v>7</v>
      </c>
      <c r="L154">
        <v>7</v>
      </c>
      <c r="M154" t="s">
        <v>793</v>
      </c>
      <c r="N154">
        <f t="shared" si="14"/>
        <v>17</v>
      </c>
      <c r="O154" t="str">
        <f t="shared" si="16"/>
        <v>Valid</v>
      </c>
      <c r="P154" s="1" t="str">
        <f>IF(N154&gt;=(VLOOKUP(B154,Lembar2!$B$19:$C$24,2,FALSE)+7),"Delayed","Ontime")</f>
        <v>Delayed</v>
      </c>
      <c r="Q154" s="3">
        <f t="shared" si="17"/>
        <v>2914.2000000000003</v>
      </c>
      <c r="R154" s="3">
        <f t="shared" si="18"/>
        <v>2696.4</v>
      </c>
      <c r="S154" s="3">
        <f t="shared" si="19"/>
        <v>217.80000000000018</v>
      </c>
      <c r="T154">
        <f t="shared" si="20"/>
        <v>0</v>
      </c>
    </row>
    <row r="155" spans="1:20" x14ac:dyDescent="0.25">
      <c r="A155" t="s">
        <v>958</v>
      </c>
      <c r="B155" t="s">
        <v>798</v>
      </c>
      <c r="C155" s="1">
        <v>45111</v>
      </c>
      <c r="D155" s="1">
        <f>IF(E155="",C155+VLOOKUP(B155,Lembar2!$B$19:$C$24,2,FALSE),'Procurement Dataset'!E155)</f>
        <v>45112</v>
      </c>
      <c r="E155" s="1">
        <v>45112</v>
      </c>
      <c r="F155" t="s">
        <v>804</v>
      </c>
      <c r="G155" t="s">
        <v>796</v>
      </c>
      <c r="H155" s="5">
        <v>1101</v>
      </c>
      <c r="I155" s="3">
        <v>24.28</v>
      </c>
      <c r="J155" s="3">
        <v>22.73</v>
      </c>
      <c r="K155" s="5">
        <f t="shared" si="15"/>
        <v>59</v>
      </c>
      <c r="L155">
        <v>59</v>
      </c>
      <c r="M155" t="s">
        <v>805</v>
      </c>
      <c r="N155">
        <f t="shared" si="14"/>
        <v>1</v>
      </c>
      <c r="O155" t="str">
        <f t="shared" si="16"/>
        <v>Valid</v>
      </c>
      <c r="P155" s="1" t="str">
        <f>IF(N155&gt;=(VLOOKUP(B155,Lembar2!$B$19:$C$24,2,FALSE)+7),"Delayed","Ontime")</f>
        <v>Ontime</v>
      </c>
      <c r="Q155" s="3">
        <f t="shared" si="17"/>
        <v>26732.280000000002</v>
      </c>
      <c r="R155" s="3">
        <f t="shared" si="18"/>
        <v>25025.73</v>
      </c>
      <c r="S155" s="3">
        <f t="shared" si="19"/>
        <v>1706.5500000000029</v>
      </c>
      <c r="T155">
        <f t="shared" si="20"/>
        <v>1</v>
      </c>
    </row>
    <row r="156" spans="1:20" x14ac:dyDescent="0.25">
      <c r="A156" t="s">
        <v>959</v>
      </c>
      <c r="B156" t="s">
        <v>790</v>
      </c>
      <c r="C156" s="1">
        <v>44835</v>
      </c>
      <c r="D156" s="1">
        <f>IF(E156="",C156+VLOOKUP(B156,Lembar2!$B$19:$C$24,2,FALSE),'Procurement Dataset'!E156)</f>
        <v>44845</v>
      </c>
      <c r="E156" s="1">
        <v>44845</v>
      </c>
      <c r="F156" t="s">
        <v>804</v>
      </c>
      <c r="G156" t="s">
        <v>796</v>
      </c>
      <c r="H156" s="5">
        <v>184</v>
      </c>
      <c r="I156" s="3">
        <v>11.82</v>
      </c>
      <c r="J156" s="3">
        <v>10.51</v>
      </c>
      <c r="K156" s="5">
        <f t="shared" si="15"/>
        <v>4</v>
      </c>
      <c r="L156">
        <v>4</v>
      </c>
      <c r="M156" t="s">
        <v>793</v>
      </c>
      <c r="N156">
        <f t="shared" si="14"/>
        <v>10</v>
      </c>
      <c r="O156" t="str">
        <f t="shared" si="16"/>
        <v>Valid</v>
      </c>
      <c r="P156" s="1" t="str">
        <f>IF(N156&gt;=(VLOOKUP(B156,Lembar2!$B$19:$C$24,2,FALSE)+7),"Delayed","Ontime")</f>
        <v>Ontime</v>
      </c>
      <c r="Q156" s="3">
        <f t="shared" si="17"/>
        <v>2174.88</v>
      </c>
      <c r="R156" s="3">
        <f t="shared" si="18"/>
        <v>1933.84</v>
      </c>
      <c r="S156" s="3">
        <f t="shared" si="19"/>
        <v>241.04000000000019</v>
      </c>
      <c r="T156">
        <f t="shared" si="20"/>
        <v>1</v>
      </c>
    </row>
    <row r="157" spans="1:20" x14ac:dyDescent="0.25">
      <c r="A157" t="s">
        <v>960</v>
      </c>
      <c r="B157" t="s">
        <v>807</v>
      </c>
      <c r="C157" s="1">
        <v>45218</v>
      </c>
      <c r="D157" s="1">
        <f>IF(E157="",C157+VLOOKUP(B157,Lembar2!$B$19:$C$24,2,FALSE),'Procurement Dataset'!E157)</f>
        <v>45237</v>
      </c>
      <c r="E157" s="1">
        <v>45237</v>
      </c>
      <c r="F157" t="s">
        <v>817</v>
      </c>
      <c r="G157" t="s">
        <v>796</v>
      </c>
      <c r="H157" s="5">
        <v>250</v>
      </c>
      <c r="I157" s="3">
        <v>45.92</v>
      </c>
      <c r="J157" s="3">
        <v>41.02</v>
      </c>
      <c r="K157" s="5">
        <f t="shared" si="15"/>
        <v>3</v>
      </c>
      <c r="L157">
        <v>3</v>
      </c>
      <c r="M157" t="s">
        <v>793</v>
      </c>
      <c r="N157">
        <f t="shared" si="14"/>
        <v>19</v>
      </c>
      <c r="O157" t="str">
        <f t="shared" si="16"/>
        <v>Valid</v>
      </c>
      <c r="P157" s="1" t="str">
        <f>IF(N157&gt;=(VLOOKUP(B157,Lembar2!$B$19:$C$24,2,FALSE)+7),"Delayed","Ontime")</f>
        <v>Delayed</v>
      </c>
      <c r="Q157" s="3">
        <f t="shared" si="17"/>
        <v>11480</v>
      </c>
      <c r="R157" s="3">
        <f t="shared" si="18"/>
        <v>10255</v>
      </c>
      <c r="S157" s="3">
        <f t="shared" si="19"/>
        <v>1225</v>
      </c>
      <c r="T157">
        <f t="shared" si="20"/>
        <v>0</v>
      </c>
    </row>
    <row r="158" spans="1:20" x14ac:dyDescent="0.25">
      <c r="A158" t="s">
        <v>961</v>
      </c>
      <c r="B158" t="s">
        <v>807</v>
      </c>
      <c r="C158" s="1">
        <v>44910</v>
      </c>
      <c r="D158" s="1">
        <f>IF(E158="",C158+VLOOKUP(B158,Lembar2!$B$19:$C$24,2,FALSE),'Procurement Dataset'!E158)</f>
        <v>44921</v>
      </c>
      <c r="F158" t="s">
        <v>802</v>
      </c>
      <c r="G158" t="s">
        <v>792</v>
      </c>
      <c r="H158" s="5">
        <v>1913</v>
      </c>
      <c r="I158" s="3">
        <v>66.56</v>
      </c>
      <c r="J158" s="3">
        <v>61.34</v>
      </c>
      <c r="K158" s="5">
        <f t="shared" si="15"/>
        <v>61</v>
      </c>
      <c r="L158">
        <v>61</v>
      </c>
      <c r="M158" t="s">
        <v>793</v>
      </c>
      <c r="N158" t="str">
        <f t="shared" si="14"/>
        <v/>
      </c>
      <c r="O158" t="str">
        <f t="shared" si="16"/>
        <v>Valid</v>
      </c>
      <c r="P158" s="1" t="str">
        <f>IF(N158&gt;=(VLOOKUP(B158,Lembar2!$B$19:$C$24,2,FALSE)+7),"Delayed","Ontime")</f>
        <v>Delayed</v>
      </c>
      <c r="Q158" s="3">
        <f t="shared" si="17"/>
        <v>127329.28</v>
      </c>
      <c r="R158" s="3">
        <f t="shared" si="18"/>
        <v>117343.42000000001</v>
      </c>
      <c r="S158" s="3">
        <f t="shared" si="19"/>
        <v>9985.859999999986</v>
      </c>
      <c r="T158">
        <f t="shared" si="20"/>
        <v>0</v>
      </c>
    </row>
    <row r="159" spans="1:20" x14ac:dyDescent="0.25">
      <c r="A159" t="s">
        <v>962</v>
      </c>
      <c r="B159" t="s">
        <v>801</v>
      </c>
      <c r="C159" s="1">
        <v>44676</v>
      </c>
      <c r="D159" s="1">
        <f>IF(E159="",C159+VLOOKUP(B159,Lembar2!$B$19:$C$24,2,FALSE),'Procurement Dataset'!E159)</f>
        <v>44681</v>
      </c>
      <c r="E159" s="1">
        <v>44681</v>
      </c>
      <c r="F159" t="s">
        <v>817</v>
      </c>
      <c r="G159" t="s">
        <v>796</v>
      </c>
      <c r="H159" s="5">
        <v>829</v>
      </c>
      <c r="I159" s="3">
        <v>45.98</v>
      </c>
      <c r="J159" s="3">
        <v>40.39</v>
      </c>
      <c r="K159" s="5">
        <f t="shared" si="15"/>
        <v>0</v>
      </c>
      <c r="M159" t="s">
        <v>793</v>
      </c>
      <c r="N159">
        <f t="shared" si="14"/>
        <v>5</v>
      </c>
      <c r="O159" t="str">
        <f t="shared" si="16"/>
        <v>Valid</v>
      </c>
      <c r="P159" s="1" t="str">
        <f>IF(N159&gt;=(VLOOKUP(B159,Lembar2!$B$19:$C$24,2,FALSE)+7),"Delayed","Ontime")</f>
        <v>Ontime</v>
      </c>
      <c r="Q159" s="3">
        <f t="shared" si="17"/>
        <v>38117.42</v>
      </c>
      <c r="R159" s="3">
        <f t="shared" si="18"/>
        <v>33483.31</v>
      </c>
      <c r="S159" s="3">
        <f t="shared" si="19"/>
        <v>4634.1100000000006</v>
      </c>
      <c r="T159">
        <f t="shared" si="20"/>
        <v>1</v>
      </c>
    </row>
    <row r="160" spans="1:20" x14ac:dyDescent="0.25">
      <c r="A160" t="s">
        <v>963</v>
      </c>
      <c r="B160" t="s">
        <v>795</v>
      </c>
      <c r="C160" s="1">
        <v>44862</v>
      </c>
      <c r="D160" s="1">
        <f>IF(E160="",C160+VLOOKUP(B160,Lembar2!$B$19:$C$24,2,FALSE),'Procurement Dataset'!E160)</f>
        <v>44878</v>
      </c>
      <c r="E160" s="1">
        <v>44878</v>
      </c>
      <c r="F160" t="s">
        <v>804</v>
      </c>
      <c r="G160" t="s">
        <v>796</v>
      </c>
      <c r="H160" s="5">
        <v>979</v>
      </c>
      <c r="I160" s="3">
        <v>51.59</v>
      </c>
      <c r="J160" s="3">
        <v>49.69</v>
      </c>
      <c r="K160" s="5">
        <f t="shared" si="15"/>
        <v>148</v>
      </c>
      <c r="L160">
        <v>148</v>
      </c>
      <c r="M160" t="s">
        <v>793</v>
      </c>
      <c r="N160">
        <f t="shared" si="14"/>
        <v>16</v>
      </c>
      <c r="O160" t="str">
        <f t="shared" si="16"/>
        <v>Valid</v>
      </c>
      <c r="P160" s="1" t="str">
        <f>IF(N160&gt;=(VLOOKUP(B160,Lembar2!$B$19:$C$24,2,FALSE)+7),"Delayed","Ontime")</f>
        <v>Ontime</v>
      </c>
      <c r="Q160" s="3">
        <f t="shared" si="17"/>
        <v>50506.61</v>
      </c>
      <c r="R160" s="3">
        <f t="shared" si="18"/>
        <v>48646.509999999995</v>
      </c>
      <c r="S160" s="3">
        <f t="shared" si="19"/>
        <v>1860.1000000000058</v>
      </c>
      <c r="T160">
        <f t="shared" si="20"/>
        <v>1</v>
      </c>
    </row>
    <row r="161" spans="1:20" x14ac:dyDescent="0.25">
      <c r="A161" t="s">
        <v>964</v>
      </c>
      <c r="B161" t="s">
        <v>807</v>
      </c>
      <c r="C161" s="1">
        <v>45007</v>
      </c>
      <c r="D161" s="1">
        <f>IF(E161="",C161+VLOOKUP(B161,Lembar2!$B$19:$C$24,2,FALSE),'Procurement Dataset'!E161)</f>
        <v>45025</v>
      </c>
      <c r="E161" s="1">
        <v>45025</v>
      </c>
      <c r="F161" t="s">
        <v>817</v>
      </c>
      <c r="G161" t="s">
        <v>811</v>
      </c>
      <c r="H161" s="5">
        <v>1106</v>
      </c>
      <c r="I161" s="3">
        <v>97.77</v>
      </c>
      <c r="J161" s="3">
        <v>90.45</v>
      </c>
      <c r="K161" s="5">
        <f t="shared" si="15"/>
        <v>31</v>
      </c>
      <c r="L161">
        <v>31</v>
      </c>
      <c r="M161" t="s">
        <v>793</v>
      </c>
      <c r="N161">
        <f t="shared" si="14"/>
        <v>18</v>
      </c>
      <c r="O161" t="str">
        <f t="shared" si="16"/>
        <v>Valid</v>
      </c>
      <c r="P161" s="1" t="str">
        <f>IF(N161&gt;=(VLOOKUP(B161,Lembar2!$B$19:$C$24,2,FALSE)+7),"Delayed","Ontime")</f>
        <v>Delayed</v>
      </c>
      <c r="Q161" s="3">
        <f t="shared" si="17"/>
        <v>108133.62</v>
      </c>
      <c r="R161" s="3">
        <f t="shared" si="18"/>
        <v>100037.7</v>
      </c>
      <c r="S161" s="3">
        <f t="shared" si="19"/>
        <v>8095.9199999999983</v>
      </c>
      <c r="T161">
        <f t="shared" si="20"/>
        <v>0</v>
      </c>
    </row>
    <row r="162" spans="1:20" x14ac:dyDescent="0.25">
      <c r="A162" t="s">
        <v>965</v>
      </c>
      <c r="B162" t="s">
        <v>795</v>
      </c>
      <c r="C162" s="1">
        <v>44723</v>
      </c>
      <c r="D162" s="1">
        <f>IF(E162="",C162+VLOOKUP(B162,Lembar2!$B$19:$C$24,2,FALSE),'Procurement Dataset'!E162)</f>
        <v>44736</v>
      </c>
      <c r="E162" s="1">
        <v>44736</v>
      </c>
      <c r="F162" t="s">
        <v>791</v>
      </c>
      <c r="G162" t="s">
        <v>813</v>
      </c>
      <c r="H162" s="5">
        <v>1121</v>
      </c>
      <c r="I162" s="3">
        <v>42.38</v>
      </c>
      <c r="J162" s="3">
        <v>38.340000000000003</v>
      </c>
      <c r="K162" s="5">
        <f t="shared" si="15"/>
        <v>152</v>
      </c>
      <c r="L162">
        <v>152</v>
      </c>
      <c r="M162" t="s">
        <v>793</v>
      </c>
      <c r="N162">
        <f t="shared" si="14"/>
        <v>13</v>
      </c>
      <c r="O162" t="str">
        <f t="shared" si="16"/>
        <v>Valid</v>
      </c>
      <c r="P162" s="1" t="str">
        <f>IF(N162&gt;=(VLOOKUP(B162,Lembar2!$B$19:$C$24,2,FALSE)+7),"Delayed","Ontime")</f>
        <v>Ontime</v>
      </c>
      <c r="Q162" s="3">
        <f t="shared" si="17"/>
        <v>47507.98</v>
      </c>
      <c r="R162" s="3">
        <f t="shared" si="18"/>
        <v>42979.140000000007</v>
      </c>
      <c r="S162" s="3">
        <f t="shared" si="19"/>
        <v>4528.8399999999965</v>
      </c>
      <c r="T162">
        <f t="shared" si="20"/>
        <v>1</v>
      </c>
    </row>
    <row r="163" spans="1:20" x14ac:dyDescent="0.25">
      <c r="A163" t="s">
        <v>966</v>
      </c>
      <c r="B163" t="s">
        <v>790</v>
      </c>
      <c r="C163" s="1">
        <v>45026</v>
      </c>
      <c r="D163" s="1">
        <f>IF(E163="",C163+VLOOKUP(B163,Lembar2!$B$19:$C$24,2,FALSE),'Procurement Dataset'!E163)</f>
        <v>45037</v>
      </c>
      <c r="E163" s="1">
        <v>45037</v>
      </c>
      <c r="F163" t="s">
        <v>791</v>
      </c>
      <c r="G163" t="s">
        <v>796</v>
      </c>
      <c r="H163" s="5">
        <v>552</v>
      </c>
      <c r="I163" s="3">
        <v>60.48</v>
      </c>
      <c r="J163" s="3">
        <v>56.78</v>
      </c>
      <c r="K163" s="5">
        <f t="shared" si="15"/>
        <v>10</v>
      </c>
      <c r="L163">
        <v>10</v>
      </c>
      <c r="M163" t="s">
        <v>793</v>
      </c>
      <c r="N163">
        <f t="shared" si="14"/>
        <v>11</v>
      </c>
      <c r="O163" t="str">
        <f t="shared" si="16"/>
        <v>Valid</v>
      </c>
      <c r="P163" s="1" t="str">
        <f>IF(N163&gt;=(VLOOKUP(B163,Lembar2!$B$19:$C$24,2,FALSE)+7),"Delayed","Ontime")</f>
        <v>Ontime</v>
      </c>
      <c r="Q163" s="3">
        <f t="shared" si="17"/>
        <v>33384.959999999999</v>
      </c>
      <c r="R163" s="3">
        <f t="shared" si="18"/>
        <v>31342.560000000001</v>
      </c>
      <c r="S163" s="3">
        <f t="shared" si="19"/>
        <v>2042.3999999999978</v>
      </c>
      <c r="T163">
        <f t="shared" si="20"/>
        <v>1</v>
      </c>
    </row>
    <row r="164" spans="1:20" x14ac:dyDescent="0.25">
      <c r="A164" t="s">
        <v>967</v>
      </c>
      <c r="B164" t="s">
        <v>798</v>
      </c>
      <c r="C164" s="1">
        <v>44565</v>
      </c>
      <c r="D164" s="1">
        <f>IF(E164="",C164+VLOOKUP(B164,Lembar2!$B$19:$C$24,2,FALSE),'Procurement Dataset'!E164)</f>
        <v>44573</v>
      </c>
      <c r="E164" s="1">
        <v>44573</v>
      </c>
      <c r="F164" t="s">
        <v>802</v>
      </c>
      <c r="G164" t="s">
        <v>796</v>
      </c>
      <c r="H164" s="5">
        <v>456</v>
      </c>
      <c r="I164" s="3">
        <v>80.53</v>
      </c>
      <c r="J164" s="3">
        <v>77.86</v>
      </c>
      <c r="K164" s="5">
        <f t="shared" si="15"/>
        <v>26</v>
      </c>
      <c r="L164">
        <v>26</v>
      </c>
      <c r="M164" t="s">
        <v>793</v>
      </c>
      <c r="N164">
        <f t="shared" si="14"/>
        <v>8</v>
      </c>
      <c r="O164" t="str">
        <f t="shared" si="16"/>
        <v>Valid</v>
      </c>
      <c r="P164" s="1" t="str">
        <f>IF(N164&gt;=(VLOOKUP(B164,Lembar2!$B$19:$C$24,2,FALSE)+7),"Delayed","Ontime")</f>
        <v>Ontime</v>
      </c>
      <c r="Q164" s="3">
        <f t="shared" si="17"/>
        <v>36721.68</v>
      </c>
      <c r="R164" s="3">
        <f t="shared" si="18"/>
        <v>35504.159999999996</v>
      </c>
      <c r="S164" s="3">
        <f t="shared" si="19"/>
        <v>1217.5200000000041</v>
      </c>
      <c r="T164">
        <f t="shared" si="20"/>
        <v>1</v>
      </c>
    </row>
    <row r="165" spans="1:20" x14ac:dyDescent="0.25">
      <c r="A165" t="s">
        <v>968</v>
      </c>
      <c r="B165" t="s">
        <v>795</v>
      </c>
      <c r="C165" s="1">
        <v>44831</v>
      </c>
      <c r="D165" s="1">
        <f>IF(E165="",C165+VLOOKUP(B165,Lembar2!$B$19:$C$24,2,FALSE),'Procurement Dataset'!E165)</f>
        <v>44839</v>
      </c>
      <c r="E165" s="1">
        <v>44839</v>
      </c>
      <c r="F165" t="s">
        <v>802</v>
      </c>
      <c r="G165" t="s">
        <v>796</v>
      </c>
      <c r="H165" s="5">
        <v>1647</v>
      </c>
      <c r="I165" s="3">
        <v>47.52</v>
      </c>
      <c r="J165" s="3">
        <v>44.92</v>
      </c>
      <c r="K165" s="5">
        <f t="shared" si="15"/>
        <v>0</v>
      </c>
      <c r="M165" t="s">
        <v>793</v>
      </c>
      <c r="N165">
        <f t="shared" si="14"/>
        <v>8</v>
      </c>
      <c r="O165" t="str">
        <f t="shared" si="16"/>
        <v>Valid</v>
      </c>
      <c r="P165" s="1" t="str">
        <f>IF(N165&gt;=(VLOOKUP(B165,Lembar2!$B$19:$C$24,2,FALSE)+7),"Delayed","Ontime")</f>
        <v>Ontime</v>
      </c>
      <c r="Q165" s="3">
        <f t="shared" si="17"/>
        <v>78265.440000000002</v>
      </c>
      <c r="R165" s="3">
        <f t="shared" si="18"/>
        <v>73983.240000000005</v>
      </c>
      <c r="S165" s="3">
        <f t="shared" si="19"/>
        <v>4282.1999999999971</v>
      </c>
      <c r="T165">
        <f t="shared" si="20"/>
        <v>1</v>
      </c>
    </row>
    <row r="166" spans="1:20" x14ac:dyDescent="0.25">
      <c r="A166" t="s">
        <v>969</v>
      </c>
      <c r="B166" t="s">
        <v>807</v>
      </c>
      <c r="C166" s="1">
        <v>45074</v>
      </c>
      <c r="D166" s="1">
        <f>IF(E166="",C166+VLOOKUP(B166,Lembar2!$B$19:$C$24,2,FALSE),'Procurement Dataset'!E166)</f>
        <v>45088</v>
      </c>
      <c r="E166" s="1">
        <v>45088</v>
      </c>
      <c r="F166" t="s">
        <v>817</v>
      </c>
      <c r="G166" t="s">
        <v>813</v>
      </c>
      <c r="H166" s="5">
        <v>1801</v>
      </c>
      <c r="I166" s="3">
        <v>71.27</v>
      </c>
      <c r="J166" s="3">
        <v>61.24</v>
      </c>
      <c r="K166" s="5">
        <f t="shared" si="15"/>
        <v>43</v>
      </c>
      <c r="L166">
        <v>43</v>
      </c>
      <c r="M166" t="s">
        <v>793</v>
      </c>
      <c r="N166">
        <f t="shared" si="14"/>
        <v>14</v>
      </c>
      <c r="O166" t="str">
        <f t="shared" si="16"/>
        <v>Valid</v>
      </c>
      <c r="P166" s="1" t="str">
        <f>IF(N166&gt;=(VLOOKUP(B166,Lembar2!$B$19:$C$24,2,FALSE)+7),"Delayed","Ontime")</f>
        <v>Ontime</v>
      </c>
      <c r="Q166" s="3">
        <f t="shared" si="17"/>
        <v>128357.26999999999</v>
      </c>
      <c r="R166" s="3">
        <f t="shared" si="18"/>
        <v>110293.24</v>
      </c>
      <c r="S166" s="3">
        <f t="shared" si="19"/>
        <v>18064.029999999984</v>
      </c>
      <c r="T166">
        <f t="shared" si="20"/>
        <v>1</v>
      </c>
    </row>
    <row r="167" spans="1:20" x14ac:dyDescent="0.25">
      <c r="A167" t="s">
        <v>970</v>
      </c>
      <c r="B167" t="s">
        <v>798</v>
      </c>
      <c r="C167" s="1">
        <v>44744</v>
      </c>
      <c r="D167" s="1">
        <f>IF(E167="",C167+VLOOKUP(B167,Lembar2!$B$19:$C$24,2,FALSE),'Procurement Dataset'!E167)</f>
        <v>44760</v>
      </c>
      <c r="E167" s="1">
        <v>44760</v>
      </c>
      <c r="F167" t="s">
        <v>817</v>
      </c>
      <c r="G167" t="s">
        <v>796</v>
      </c>
      <c r="H167" s="5">
        <v>854</v>
      </c>
      <c r="I167" s="3">
        <v>90.24</v>
      </c>
      <c r="J167" s="3">
        <v>85.53</v>
      </c>
      <c r="K167" s="5">
        <f t="shared" si="15"/>
        <v>0</v>
      </c>
      <c r="M167" t="s">
        <v>793</v>
      </c>
      <c r="N167">
        <f t="shared" si="14"/>
        <v>16</v>
      </c>
      <c r="O167" t="str">
        <f t="shared" si="16"/>
        <v>Valid</v>
      </c>
      <c r="P167" s="1" t="str">
        <f>IF(N167&gt;=(VLOOKUP(B167,Lembar2!$B$19:$C$24,2,FALSE)+7),"Delayed","Ontime")</f>
        <v>Ontime</v>
      </c>
      <c r="Q167" s="3">
        <f t="shared" si="17"/>
        <v>77064.959999999992</v>
      </c>
      <c r="R167" s="3">
        <f t="shared" si="18"/>
        <v>73042.62</v>
      </c>
      <c r="S167" s="3">
        <f t="shared" si="19"/>
        <v>4022.3399999999965</v>
      </c>
      <c r="T167">
        <f t="shared" si="20"/>
        <v>1</v>
      </c>
    </row>
    <row r="168" spans="1:20" x14ac:dyDescent="0.25">
      <c r="A168" t="s">
        <v>971</v>
      </c>
      <c r="B168" t="s">
        <v>795</v>
      </c>
      <c r="C168" s="1">
        <v>45081</v>
      </c>
      <c r="D168" s="1">
        <f>IF(E168="",C168+VLOOKUP(B168,Lembar2!$B$19:$C$24,2,FALSE),'Procurement Dataset'!E168)</f>
        <v>45094</v>
      </c>
      <c r="E168" s="1">
        <v>45094</v>
      </c>
      <c r="F168" t="s">
        <v>817</v>
      </c>
      <c r="G168" t="s">
        <v>796</v>
      </c>
      <c r="H168" s="5">
        <v>148</v>
      </c>
      <c r="I168" s="3">
        <v>103.57</v>
      </c>
      <c r="J168" s="3">
        <v>98.62</v>
      </c>
      <c r="K168" s="5">
        <f t="shared" si="15"/>
        <v>23</v>
      </c>
      <c r="L168">
        <v>23</v>
      </c>
      <c r="M168" t="s">
        <v>805</v>
      </c>
      <c r="N168">
        <f t="shared" si="14"/>
        <v>13</v>
      </c>
      <c r="O168" t="str">
        <f t="shared" si="16"/>
        <v>Valid</v>
      </c>
      <c r="P168" s="1" t="str">
        <f>IF(N168&gt;=(VLOOKUP(B168,Lembar2!$B$19:$C$24,2,FALSE)+7),"Delayed","Ontime")</f>
        <v>Ontime</v>
      </c>
      <c r="Q168" s="3">
        <f t="shared" si="17"/>
        <v>15328.359999999999</v>
      </c>
      <c r="R168" s="3">
        <f t="shared" si="18"/>
        <v>14595.76</v>
      </c>
      <c r="S168" s="3">
        <f t="shared" si="19"/>
        <v>732.59999999999854</v>
      </c>
      <c r="T168">
        <f t="shared" si="20"/>
        <v>1</v>
      </c>
    </row>
    <row r="169" spans="1:20" x14ac:dyDescent="0.25">
      <c r="A169" t="s">
        <v>972</v>
      </c>
      <c r="B169" t="s">
        <v>795</v>
      </c>
      <c r="C169" s="1">
        <v>44670</v>
      </c>
      <c r="D169" s="1">
        <f>IF(E169="",C169+VLOOKUP(B169,Lembar2!$B$19:$C$24,2,FALSE),'Procurement Dataset'!E169)</f>
        <v>44675</v>
      </c>
      <c r="E169" s="1">
        <v>44675</v>
      </c>
      <c r="F169" t="s">
        <v>799</v>
      </c>
      <c r="G169" t="s">
        <v>796</v>
      </c>
      <c r="H169" s="5">
        <v>733</v>
      </c>
      <c r="I169" s="3">
        <v>23.59</v>
      </c>
      <c r="J169" s="3">
        <v>22.85</v>
      </c>
      <c r="K169" s="5">
        <f t="shared" si="15"/>
        <v>92</v>
      </c>
      <c r="L169">
        <v>92</v>
      </c>
      <c r="M169" t="s">
        <v>793</v>
      </c>
      <c r="N169">
        <f t="shared" si="14"/>
        <v>5</v>
      </c>
      <c r="O169" t="str">
        <f t="shared" si="16"/>
        <v>Valid</v>
      </c>
      <c r="P169" s="1" t="str">
        <f>IF(N169&gt;=(VLOOKUP(B169,Lembar2!$B$19:$C$24,2,FALSE)+7),"Delayed","Ontime")</f>
        <v>Ontime</v>
      </c>
      <c r="Q169" s="3">
        <f t="shared" si="17"/>
        <v>17291.47</v>
      </c>
      <c r="R169" s="3">
        <f t="shared" si="18"/>
        <v>16749.05</v>
      </c>
      <c r="S169" s="3">
        <f t="shared" si="19"/>
        <v>542.42000000000189</v>
      </c>
      <c r="T169">
        <f t="shared" si="20"/>
        <v>1</v>
      </c>
    </row>
    <row r="170" spans="1:20" x14ac:dyDescent="0.25">
      <c r="A170" t="s">
        <v>973</v>
      </c>
      <c r="B170" t="s">
        <v>801</v>
      </c>
      <c r="C170" s="1">
        <v>45202</v>
      </c>
      <c r="D170" s="1">
        <f>IF(E170="",C170+VLOOKUP(B170,Lembar2!$B$19:$C$24,2,FALSE),'Procurement Dataset'!E170)</f>
        <v>45204</v>
      </c>
      <c r="E170" s="1">
        <v>45204</v>
      </c>
      <c r="F170" t="s">
        <v>804</v>
      </c>
      <c r="G170" t="s">
        <v>796</v>
      </c>
      <c r="H170" s="5">
        <v>1945</v>
      </c>
      <c r="I170" s="3">
        <v>103.2</v>
      </c>
      <c r="J170" s="3">
        <v>88.56</v>
      </c>
      <c r="K170" s="5">
        <f t="shared" si="15"/>
        <v>0</v>
      </c>
      <c r="M170" t="s">
        <v>793</v>
      </c>
      <c r="N170">
        <f t="shared" si="14"/>
        <v>2</v>
      </c>
      <c r="O170" t="str">
        <f t="shared" si="16"/>
        <v>Valid</v>
      </c>
      <c r="P170" s="1" t="str">
        <f>IF(N170&gt;=(VLOOKUP(B170,Lembar2!$B$19:$C$24,2,FALSE)+7),"Delayed","Ontime")</f>
        <v>Ontime</v>
      </c>
      <c r="Q170" s="3">
        <f t="shared" si="17"/>
        <v>200724</v>
      </c>
      <c r="R170" s="3">
        <f t="shared" si="18"/>
        <v>172249.2</v>
      </c>
      <c r="S170" s="3">
        <f t="shared" si="19"/>
        <v>28474.799999999988</v>
      </c>
      <c r="T170">
        <f t="shared" si="20"/>
        <v>1</v>
      </c>
    </row>
    <row r="171" spans="1:20" x14ac:dyDescent="0.25">
      <c r="A171" t="s">
        <v>974</v>
      </c>
      <c r="B171" t="s">
        <v>798</v>
      </c>
      <c r="C171" s="1">
        <v>44867</v>
      </c>
      <c r="D171" s="1">
        <f>IF(E171="",C171+VLOOKUP(B171,Lembar2!$B$19:$C$24,2,FALSE),'Procurement Dataset'!E171)</f>
        <v>44886</v>
      </c>
      <c r="E171" s="1">
        <v>44886</v>
      </c>
      <c r="F171" t="s">
        <v>804</v>
      </c>
      <c r="G171" t="s">
        <v>796</v>
      </c>
      <c r="H171" s="5">
        <v>775</v>
      </c>
      <c r="I171" s="3">
        <v>57</v>
      </c>
      <c r="J171" s="3">
        <v>49.14</v>
      </c>
      <c r="K171" s="5">
        <f t="shared" si="15"/>
        <v>48</v>
      </c>
      <c r="L171">
        <v>48</v>
      </c>
      <c r="M171" t="s">
        <v>793</v>
      </c>
      <c r="N171">
        <f t="shared" si="14"/>
        <v>19</v>
      </c>
      <c r="O171" t="str">
        <f t="shared" si="16"/>
        <v>Valid</v>
      </c>
      <c r="P171" s="1" t="str">
        <f>IF(N171&gt;=(VLOOKUP(B171,Lembar2!$B$19:$C$24,2,FALSE)+7),"Delayed","Ontime")</f>
        <v>Delayed</v>
      </c>
      <c r="Q171" s="3">
        <f t="shared" si="17"/>
        <v>44175</v>
      </c>
      <c r="R171" s="3">
        <f t="shared" si="18"/>
        <v>38083.5</v>
      </c>
      <c r="S171" s="3">
        <f t="shared" si="19"/>
        <v>6091.5</v>
      </c>
      <c r="T171">
        <f t="shared" si="20"/>
        <v>0</v>
      </c>
    </row>
    <row r="172" spans="1:20" x14ac:dyDescent="0.25">
      <c r="A172" t="s">
        <v>975</v>
      </c>
      <c r="B172" t="s">
        <v>795</v>
      </c>
      <c r="C172" s="1">
        <v>45216</v>
      </c>
      <c r="D172" s="1">
        <f>IF(E172="",C172+VLOOKUP(B172,Lembar2!$B$19:$C$24,2,FALSE),'Procurement Dataset'!E172)</f>
        <v>45220</v>
      </c>
      <c r="E172" s="1">
        <v>45220</v>
      </c>
      <c r="F172" t="s">
        <v>802</v>
      </c>
      <c r="G172" t="s">
        <v>796</v>
      </c>
      <c r="H172" s="5">
        <v>1620</v>
      </c>
      <c r="I172" s="3">
        <v>36.729999999999997</v>
      </c>
      <c r="J172" s="3">
        <v>33.450000000000003</v>
      </c>
      <c r="K172" s="5">
        <f t="shared" si="15"/>
        <v>235</v>
      </c>
      <c r="L172">
        <v>235</v>
      </c>
      <c r="M172" t="s">
        <v>805</v>
      </c>
      <c r="N172">
        <f t="shared" si="14"/>
        <v>4</v>
      </c>
      <c r="O172" t="str">
        <f t="shared" si="16"/>
        <v>Valid</v>
      </c>
      <c r="P172" s="1" t="str">
        <f>IF(N172&gt;=(VLOOKUP(B172,Lembar2!$B$19:$C$24,2,FALSE)+7),"Delayed","Ontime")</f>
        <v>Ontime</v>
      </c>
      <c r="Q172" s="3">
        <f t="shared" si="17"/>
        <v>59502.6</v>
      </c>
      <c r="R172" s="3">
        <f t="shared" si="18"/>
        <v>54189.000000000007</v>
      </c>
      <c r="S172" s="3">
        <f t="shared" si="19"/>
        <v>5313.5999999999913</v>
      </c>
      <c r="T172">
        <f t="shared" si="20"/>
        <v>1</v>
      </c>
    </row>
    <row r="173" spans="1:20" x14ac:dyDescent="0.25">
      <c r="A173" t="s">
        <v>976</v>
      </c>
      <c r="B173" t="s">
        <v>801</v>
      </c>
      <c r="C173" s="1">
        <v>45081</v>
      </c>
      <c r="D173" s="1">
        <f>IF(E173="",C173+VLOOKUP(B173,Lembar2!$B$19:$C$24,2,FALSE),'Procurement Dataset'!E173)</f>
        <v>45096</v>
      </c>
      <c r="E173" s="1">
        <v>45096</v>
      </c>
      <c r="F173" t="s">
        <v>791</v>
      </c>
      <c r="G173" t="s">
        <v>796</v>
      </c>
      <c r="H173" s="5">
        <v>1010</v>
      </c>
      <c r="I173" s="3">
        <v>55.68</v>
      </c>
      <c r="J173" s="3">
        <v>50.86</v>
      </c>
      <c r="K173" s="5">
        <f t="shared" si="15"/>
        <v>0</v>
      </c>
      <c r="M173" t="s">
        <v>793</v>
      </c>
      <c r="N173">
        <f t="shared" si="14"/>
        <v>15</v>
      </c>
      <c r="O173" t="str">
        <f t="shared" si="16"/>
        <v>Valid</v>
      </c>
      <c r="P173" s="1" t="str">
        <f>IF(N173&gt;=(VLOOKUP(B173,Lembar2!$B$19:$C$24,2,FALSE)+7),"Delayed","Ontime")</f>
        <v>Ontime</v>
      </c>
      <c r="Q173" s="3">
        <f t="shared" si="17"/>
        <v>56236.800000000003</v>
      </c>
      <c r="R173" s="3">
        <f t="shared" si="18"/>
        <v>51368.6</v>
      </c>
      <c r="S173" s="3">
        <f t="shared" si="19"/>
        <v>4868.2000000000044</v>
      </c>
      <c r="T173">
        <f t="shared" si="20"/>
        <v>1</v>
      </c>
    </row>
    <row r="174" spans="1:20" x14ac:dyDescent="0.25">
      <c r="A174" t="s">
        <v>977</v>
      </c>
      <c r="B174" t="s">
        <v>807</v>
      </c>
      <c r="C174" s="1">
        <v>45185</v>
      </c>
      <c r="D174" s="1">
        <f>IF(E174="",C174+VLOOKUP(B174,Lembar2!$B$19:$C$24,2,FALSE),'Procurement Dataset'!E174)</f>
        <v>45200</v>
      </c>
      <c r="E174" s="1">
        <v>45200</v>
      </c>
      <c r="F174" t="s">
        <v>791</v>
      </c>
      <c r="G174" t="s">
        <v>796</v>
      </c>
      <c r="H174" s="5">
        <v>1812</v>
      </c>
      <c r="I174" s="3">
        <v>108.02</v>
      </c>
      <c r="J174" s="3">
        <v>101.02</v>
      </c>
      <c r="K174" s="5">
        <f t="shared" si="15"/>
        <v>51</v>
      </c>
      <c r="L174">
        <v>51</v>
      </c>
      <c r="M174" t="s">
        <v>793</v>
      </c>
      <c r="N174">
        <f t="shared" si="14"/>
        <v>15</v>
      </c>
      <c r="O174" t="str">
        <f t="shared" si="16"/>
        <v>Valid</v>
      </c>
      <c r="P174" s="1" t="str">
        <f>IF(N174&gt;=(VLOOKUP(B174,Lembar2!$B$19:$C$24,2,FALSE)+7),"Delayed","Ontime")</f>
        <v>Ontime</v>
      </c>
      <c r="Q174" s="3">
        <f t="shared" si="17"/>
        <v>195732.24</v>
      </c>
      <c r="R174" s="3">
        <f t="shared" si="18"/>
        <v>183048.24</v>
      </c>
      <c r="S174" s="3">
        <f t="shared" si="19"/>
        <v>12684</v>
      </c>
      <c r="T174">
        <f t="shared" si="20"/>
        <v>1</v>
      </c>
    </row>
    <row r="175" spans="1:20" x14ac:dyDescent="0.25">
      <c r="A175" t="s">
        <v>978</v>
      </c>
      <c r="B175" t="s">
        <v>795</v>
      </c>
      <c r="C175" s="1">
        <v>44765</v>
      </c>
      <c r="D175" s="1">
        <f>IF(E175="",C175+VLOOKUP(B175,Lembar2!$B$19:$C$24,2,FALSE),'Procurement Dataset'!E175)</f>
        <v>44770</v>
      </c>
      <c r="E175" s="1">
        <v>44770</v>
      </c>
      <c r="F175" t="s">
        <v>791</v>
      </c>
      <c r="G175" t="s">
        <v>796</v>
      </c>
      <c r="H175" s="5">
        <v>662</v>
      </c>
      <c r="I175" s="3">
        <v>55.97</v>
      </c>
      <c r="J175" s="3">
        <v>50</v>
      </c>
      <c r="K175" s="5">
        <f t="shared" si="15"/>
        <v>100</v>
      </c>
      <c r="L175">
        <v>100</v>
      </c>
      <c r="M175" t="s">
        <v>793</v>
      </c>
      <c r="N175">
        <f t="shared" si="14"/>
        <v>5</v>
      </c>
      <c r="O175" t="str">
        <f t="shared" si="16"/>
        <v>Valid</v>
      </c>
      <c r="P175" s="1" t="str">
        <f>IF(N175&gt;=(VLOOKUP(B175,Lembar2!$B$19:$C$24,2,FALSE)+7),"Delayed","Ontime")</f>
        <v>Ontime</v>
      </c>
      <c r="Q175" s="3">
        <f t="shared" si="17"/>
        <v>37052.14</v>
      </c>
      <c r="R175" s="3">
        <f t="shared" si="18"/>
        <v>33100</v>
      </c>
      <c r="S175" s="3">
        <f t="shared" si="19"/>
        <v>3952.1399999999994</v>
      </c>
      <c r="T175">
        <f t="shared" si="20"/>
        <v>1</v>
      </c>
    </row>
    <row r="176" spans="1:20" x14ac:dyDescent="0.25">
      <c r="A176" t="s">
        <v>979</v>
      </c>
      <c r="B176" t="s">
        <v>801</v>
      </c>
      <c r="C176" s="1">
        <v>44718</v>
      </c>
      <c r="D176" s="1">
        <f>IF(E176="",C176+VLOOKUP(B176,Lembar2!$B$19:$C$24,2,FALSE),'Procurement Dataset'!E176)</f>
        <v>44723</v>
      </c>
      <c r="E176" s="1">
        <v>44723</v>
      </c>
      <c r="F176" t="s">
        <v>791</v>
      </c>
      <c r="G176" t="s">
        <v>813</v>
      </c>
      <c r="H176" s="5">
        <v>1535</v>
      </c>
      <c r="I176" s="3">
        <v>40.58</v>
      </c>
      <c r="J176" s="3">
        <v>38.71</v>
      </c>
      <c r="K176" s="5">
        <f t="shared" si="15"/>
        <v>165</v>
      </c>
      <c r="L176">
        <v>165</v>
      </c>
      <c r="M176" t="s">
        <v>793</v>
      </c>
      <c r="N176">
        <f t="shared" si="14"/>
        <v>5</v>
      </c>
      <c r="O176" t="str">
        <f t="shared" si="16"/>
        <v>Valid</v>
      </c>
      <c r="P176" s="1" t="str">
        <f>IF(N176&gt;=(VLOOKUP(B176,Lembar2!$B$19:$C$24,2,FALSE)+7),"Delayed","Ontime")</f>
        <v>Ontime</v>
      </c>
      <c r="Q176" s="3">
        <f t="shared" si="17"/>
        <v>62290.299999999996</v>
      </c>
      <c r="R176" s="3">
        <f t="shared" si="18"/>
        <v>59419.85</v>
      </c>
      <c r="S176" s="3">
        <f t="shared" si="19"/>
        <v>2870.4499999999971</v>
      </c>
      <c r="T176">
        <f t="shared" si="20"/>
        <v>1</v>
      </c>
    </row>
    <row r="177" spans="1:20" x14ac:dyDescent="0.25">
      <c r="A177" t="s">
        <v>980</v>
      </c>
      <c r="B177" t="s">
        <v>801</v>
      </c>
      <c r="C177" s="1">
        <v>44944</v>
      </c>
      <c r="D177" s="1">
        <f>IF(E177="",C177+VLOOKUP(B177,Lembar2!$B$19:$C$24,2,FALSE),'Procurement Dataset'!E177)</f>
        <v>44953</v>
      </c>
      <c r="E177" s="1">
        <v>44953</v>
      </c>
      <c r="F177" t="s">
        <v>804</v>
      </c>
      <c r="G177" t="s">
        <v>796</v>
      </c>
      <c r="H177" s="5">
        <v>692</v>
      </c>
      <c r="I177" s="3">
        <v>71.03</v>
      </c>
      <c r="J177" s="3">
        <v>67.739999999999995</v>
      </c>
      <c r="K177" s="5">
        <f t="shared" si="15"/>
        <v>70</v>
      </c>
      <c r="L177">
        <v>70</v>
      </c>
      <c r="M177" t="s">
        <v>793</v>
      </c>
      <c r="N177">
        <f t="shared" si="14"/>
        <v>9</v>
      </c>
      <c r="O177" t="str">
        <f t="shared" si="16"/>
        <v>Valid</v>
      </c>
      <c r="P177" s="1" t="str">
        <f>IF(N177&gt;=(VLOOKUP(B177,Lembar2!$B$19:$C$24,2,FALSE)+7),"Delayed","Ontime")</f>
        <v>Ontime</v>
      </c>
      <c r="Q177" s="3">
        <f t="shared" si="17"/>
        <v>49152.76</v>
      </c>
      <c r="R177" s="3">
        <f t="shared" si="18"/>
        <v>46876.079999999994</v>
      </c>
      <c r="S177" s="3">
        <f t="shared" si="19"/>
        <v>2276.6800000000076</v>
      </c>
      <c r="T177">
        <f t="shared" si="20"/>
        <v>1</v>
      </c>
    </row>
    <row r="178" spans="1:20" x14ac:dyDescent="0.25">
      <c r="A178" t="s">
        <v>981</v>
      </c>
      <c r="B178" t="s">
        <v>798</v>
      </c>
      <c r="C178" s="1">
        <v>44727</v>
      </c>
      <c r="D178" s="1">
        <f>IF(E178="",C178+VLOOKUP(B178,Lembar2!$B$19:$C$24,2,FALSE),'Procurement Dataset'!E178)</f>
        <v>44740</v>
      </c>
      <c r="E178" s="1">
        <v>44740</v>
      </c>
      <c r="F178" t="s">
        <v>799</v>
      </c>
      <c r="G178" t="s">
        <v>796</v>
      </c>
      <c r="H178" s="5">
        <v>1842</v>
      </c>
      <c r="I178" s="3">
        <v>32.4</v>
      </c>
      <c r="J178" s="3">
        <v>28.08</v>
      </c>
      <c r="K178" s="5">
        <f t="shared" si="15"/>
        <v>96</v>
      </c>
      <c r="L178">
        <v>96</v>
      </c>
      <c r="M178" t="s">
        <v>793</v>
      </c>
      <c r="N178">
        <f t="shared" si="14"/>
        <v>13</v>
      </c>
      <c r="O178" t="str">
        <f t="shared" si="16"/>
        <v>Valid</v>
      </c>
      <c r="P178" s="1" t="str">
        <f>IF(N178&gt;=(VLOOKUP(B178,Lembar2!$B$19:$C$24,2,FALSE)+7),"Delayed","Ontime")</f>
        <v>Ontime</v>
      </c>
      <c r="Q178" s="3">
        <f t="shared" si="17"/>
        <v>59680.799999999996</v>
      </c>
      <c r="R178" s="3">
        <f t="shared" si="18"/>
        <v>51723.359999999993</v>
      </c>
      <c r="S178" s="3">
        <f t="shared" si="19"/>
        <v>7957.4400000000023</v>
      </c>
      <c r="T178">
        <f t="shared" si="20"/>
        <v>1</v>
      </c>
    </row>
    <row r="179" spans="1:20" x14ac:dyDescent="0.25">
      <c r="A179" t="s">
        <v>982</v>
      </c>
      <c r="B179" t="s">
        <v>801</v>
      </c>
      <c r="C179" s="1">
        <v>45114</v>
      </c>
      <c r="D179" s="1">
        <f>IF(E179="",C179+VLOOKUP(B179,Lembar2!$B$19:$C$24,2,FALSE),'Procurement Dataset'!E179)</f>
        <v>45125</v>
      </c>
      <c r="E179" s="1">
        <v>45125</v>
      </c>
      <c r="F179" t="s">
        <v>791</v>
      </c>
      <c r="G179" t="s">
        <v>792</v>
      </c>
      <c r="H179" s="5">
        <v>1078</v>
      </c>
      <c r="I179" s="3">
        <v>18.34</v>
      </c>
      <c r="J179" s="3">
        <v>17.41</v>
      </c>
      <c r="K179" s="5">
        <f t="shared" si="15"/>
        <v>102</v>
      </c>
      <c r="L179">
        <v>102</v>
      </c>
      <c r="M179" t="s">
        <v>793</v>
      </c>
      <c r="N179">
        <f t="shared" si="14"/>
        <v>11</v>
      </c>
      <c r="O179" t="str">
        <f t="shared" si="16"/>
        <v>Valid</v>
      </c>
      <c r="P179" s="1" t="str">
        <f>IF(N179&gt;=(VLOOKUP(B179,Lembar2!$B$19:$C$24,2,FALSE)+7),"Delayed","Ontime")</f>
        <v>Ontime</v>
      </c>
      <c r="Q179" s="3">
        <f t="shared" si="17"/>
        <v>19770.52</v>
      </c>
      <c r="R179" s="3">
        <f t="shared" si="18"/>
        <v>18767.98</v>
      </c>
      <c r="S179" s="3">
        <f t="shared" si="19"/>
        <v>1002.5400000000009</v>
      </c>
      <c r="T179">
        <f t="shared" si="20"/>
        <v>1</v>
      </c>
    </row>
    <row r="180" spans="1:20" x14ac:dyDescent="0.25">
      <c r="A180" t="s">
        <v>983</v>
      </c>
      <c r="B180" t="s">
        <v>795</v>
      </c>
      <c r="C180" s="1">
        <v>45105</v>
      </c>
      <c r="D180" s="1">
        <f>IF(E180="",C180+VLOOKUP(B180,Lembar2!$B$19:$C$24,2,FALSE),'Procurement Dataset'!E180)</f>
        <v>45123</v>
      </c>
      <c r="E180" s="1">
        <v>45123</v>
      </c>
      <c r="F180" t="s">
        <v>802</v>
      </c>
      <c r="G180" t="s">
        <v>796</v>
      </c>
      <c r="H180" s="5">
        <v>1291</v>
      </c>
      <c r="I180" s="3">
        <v>23.44</v>
      </c>
      <c r="J180" s="3">
        <v>22.23</v>
      </c>
      <c r="K180" s="5">
        <f t="shared" si="15"/>
        <v>0</v>
      </c>
      <c r="M180" t="s">
        <v>793</v>
      </c>
      <c r="N180">
        <f t="shared" si="14"/>
        <v>18</v>
      </c>
      <c r="O180" t="str">
        <f t="shared" si="16"/>
        <v>Valid</v>
      </c>
      <c r="P180" s="1" t="str">
        <f>IF(N180&gt;=(VLOOKUP(B180,Lembar2!$B$19:$C$24,2,FALSE)+7),"Delayed","Ontime")</f>
        <v>Delayed</v>
      </c>
      <c r="Q180" s="3">
        <f t="shared" si="17"/>
        <v>30261.040000000001</v>
      </c>
      <c r="R180" s="3">
        <f t="shared" si="18"/>
        <v>28698.93</v>
      </c>
      <c r="S180" s="3">
        <f t="shared" si="19"/>
        <v>1562.1100000000006</v>
      </c>
      <c r="T180">
        <f t="shared" si="20"/>
        <v>0</v>
      </c>
    </row>
    <row r="181" spans="1:20" x14ac:dyDescent="0.25">
      <c r="A181" t="s">
        <v>984</v>
      </c>
      <c r="B181" t="s">
        <v>790</v>
      </c>
      <c r="C181" s="1">
        <v>44562</v>
      </c>
      <c r="D181" s="1">
        <f>IF(E181="",C181+VLOOKUP(B181,Lembar2!$B$19:$C$24,2,FALSE),'Procurement Dataset'!E181)</f>
        <v>44573</v>
      </c>
      <c r="E181" s="1">
        <v>44573</v>
      </c>
      <c r="F181" t="s">
        <v>817</v>
      </c>
      <c r="G181" t="s">
        <v>796</v>
      </c>
      <c r="H181" s="5">
        <v>552</v>
      </c>
      <c r="I181" s="3">
        <v>21.52</v>
      </c>
      <c r="J181" s="3">
        <v>18.79</v>
      </c>
      <c r="K181" s="5">
        <f t="shared" si="15"/>
        <v>13</v>
      </c>
      <c r="L181">
        <v>13</v>
      </c>
      <c r="M181" t="s">
        <v>793</v>
      </c>
      <c r="N181">
        <f t="shared" si="14"/>
        <v>11</v>
      </c>
      <c r="O181" t="str">
        <f t="shared" si="16"/>
        <v>Valid</v>
      </c>
      <c r="P181" s="1" t="str">
        <f>IF(N181&gt;=(VLOOKUP(B181,Lembar2!$B$19:$C$24,2,FALSE)+7),"Delayed","Ontime")</f>
        <v>Ontime</v>
      </c>
      <c r="Q181" s="3">
        <f t="shared" si="17"/>
        <v>11879.039999999999</v>
      </c>
      <c r="R181" s="3">
        <f t="shared" si="18"/>
        <v>10372.08</v>
      </c>
      <c r="S181" s="3">
        <f t="shared" si="19"/>
        <v>1506.9599999999991</v>
      </c>
      <c r="T181">
        <f t="shared" si="20"/>
        <v>1</v>
      </c>
    </row>
    <row r="182" spans="1:20" x14ac:dyDescent="0.25">
      <c r="A182" t="s">
        <v>985</v>
      </c>
      <c r="B182" t="s">
        <v>807</v>
      </c>
      <c r="C182" s="1">
        <v>45175</v>
      </c>
      <c r="D182" s="1">
        <f>IF(E182="",C182+VLOOKUP(B182,Lembar2!$B$19:$C$24,2,FALSE),'Procurement Dataset'!E182)</f>
        <v>45191</v>
      </c>
      <c r="E182" s="1">
        <v>45191</v>
      </c>
      <c r="F182" t="s">
        <v>817</v>
      </c>
      <c r="G182" t="s">
        <v>796</v>
      </c>
      <c r="H182" s="5">
        <v>816</v>
      </c>
      <c r="I182" s="3">
        <v>26.04</v>
      </c>
      <c r="J182" s="3">
        <v>25.61</v>
      </c>
      <c r="K182" s="5">
        <f t="shared" si="15"/>
        <v>28</v>
      </c>
      <c r="L182">
        <v>28</v>
      </c>
      <c r="M182" t="s">
        <v>793</v>
      </c>
      <c r="N182">
        <f t="shared" si="14"/>
        <v>16</v>
      </c>
      <c r="O182" t="str">
        <f t="shared" si="16"/>
        <v>Valid</v>
      </c>
      <c r="P182" s="1" t="str">
        <f>IF(N182&gt;=(VLOOKUP(B182,Lembar2!$B$19:$C$24,2,FALSE)+7),"Delayed","Ontime")</f>
        <v>Ontime</v>
      </c>
      <c r="Q182" s="3">
        <f t="shared" si="17"/>
        <v>21248.639999999999</v>
      </c>
      <c r="R182" s="3">
        <f t="shared" si="18"/>
        <v>20897.759999999998</v>
      </c>
      <c r="S182" s="3">
        <f t="shared" si="19"/>
        <v>350.88000000000102</v>
      </c>
      <c r="T182">
        <f t="shared" si="20"/>
        <v>1</v>
      </c>
    </row>
    <row r="183" spans="1:20" x14ac:dyDescent="0.25">
      <c r="A183" t="s">
        <v>986</v>
      </c>
      <c r="B183" t="s">
        <v>795</v>
      </c>
      <c r="C183" s="1">
        <v>44893</v>
      </c>
      <c r="D183" s="1">
        <f>IF(E183="",C183+VLOOKUP(B183,Lembar2!$B$19:$C$24,2,FALSE),'Procurement Dataset'!E183)</f>
        <v>44895</v>
      </c>
      <c r="E183" s="1">
        <v>44895</v>
      </c>
      <c r="F183" t="s">
        <v>802</v>
      </c>
      <c r="G183" t="s">
        <v>796</v>
      </c>
      <c r="H183" s="5">
        <v>447</v>
      </c>
      <c r="I183" s="3">
        <v>23.62</v>
      </c>
      <c r="J183" s="3">
        <v>21.81</v>
      </c>
      <c r="K183" s="5">
        <f t="shared" si="15"/>
        <v>50</v>
      </c>
      <c r="L183">
        <v>50</v>
      </c>
      <c r="M183" t="s">
        <v>793</v>
      </c>
      <c r="N183">
        <f t="shared" si="14"/>
        <v>2</v>
      </c>
      <c r="O183" t="str">
        <f t="shared" si="16"/>
        <v>Valid</v>
      </c>
      <c r="P183" s="1" t="str">
        <f>IF(N183&gt;=(VLOOKUP(B183,Lembar2!$B$19:$C$24,2,FALSE)+7),"Delayed","Ontime")</f>
        <v>Ontime</v>
      </c>
      <c r="Q183" s="3">
        <f t="shared" si="17"/>
        <v>10558.140000000001</v>
      </c>
      <c r="R183" s="3">
        <f t="shared" si="18"/>
        <v>9749.07</v>
      </c>
      <c r="S183" s="3">
        <f t="shared" si="19"/>
        <v>809.07000000000153</v>
      </c>
      <c r="T183">
        <f t="shared" si="20"/>
        <v>1</v>
      </c>
    </row>
    <row r="184" spans="1:20" x14ac:dyDescent="0.25">
      <c r="A184" t="s">
        <v>987</v>
      </c>
      <c r="B184" t="s">
        <v>795</v>
      </c>
      <c r="C184" s="1">
        <v>45062</v>
      </c>
      <c r="D184" s="1">
        <f>IF(E184="",C184+VLOOKUP(B184,Lembar2!$B$19:$C$24,2,FALSE),'Procurement Dataset'!E184)</f>
        <v>45070</v>
      </c>
      <c r="E184" s="1">
        <v>45070</v>
      </c>
      <c r="F184" t="s">
        <v>802</v>
      </c>
      <c r="G184" t="s">
        <v>811</v>
      </c>
      <c r="H184" s="5">
        <v>920</v>
      </c>
      <c r="I184" s="3">
        <v>73.09</v>
      </c>
      <c r="J184" s="3">
        <v>70.14</v>
      </c>
      <c r="K184" s="5">
        <f t="shared" si="15"/>
        <v>0</v>
      </c>
      <c r="M184" t="s">
        <v>793</v>
      </c>
      <c r="N184">
        <f t="shared" si="14"/>
        <v>8</v>
      </c>
      <c r="O184" t="str">
        <f t="shared" si="16"/>
        <v>Valid</v>
      </c>
      <c r="P184" s="1" t="str">
        <f>IF(N184&gt;=(VLOOKUP(B184,Lembar2!$B$19:$C$24,2,FALSE)+7),"Delayed","Ontime")</f>
        <v>Ontime</v>
      </c>
      <c r="Q184" s="3">
        <f t="shared" si="17"/>
        <v>67242.8</v>
      </c>
      <c r="R184" s="3">
        <f t="shared" si="18"/>
        <v>64528.800000000003</v>
      </c>
      <c r="S184" s="3">
        <f t="shared" si="19"/>
        <v>2714</v>
      </c>
      <c r="T184">
        <f t="shared" si="20"/>
        <v>1</v>
      </c>
    </row>
    <row r="185" spans="1:20" x14ac:dyDescent="0.25">
      <c r="A185" t="s">
        <v>988</v>
      </c>
      <c r="B185" t="s">
        <v>807</v>
      </c>
      <c r="C185" s="1">
        <v>44581</v>
      </c>
      <c r="D185" s="1">
        <f>IF(E185="",C185+VLOOKUP(B185,Lembar2!$B$19:$C$24,2,FALSE),'Procurement Dataset'!E185)</f>
        <v>44591</v>
      </c>
      <c r="E185" s="1">
        <v>44591</v>
      </c>
      <c r="F185" t="s">
        <v>802</v>
      </c>
      <c r="G185" t="s">
        <v>811</v>
      </c>
      <c r="H185" s="5">
        <v>844</v>
      </c>
      <c r="I185" s="3">
        <v>26.37</v>
      </c>
      <c r="J185" s="3">
        <v>25.08</v>
      </c>
      <c r="K185" s="5">
        <f t="shared" si="15"/>
        <v>38</v>
      </c>
      <c r="L185">
        <v>38</v>
      </c>
      <c r="M185" t="s">
        <v>793</v>
      </c>
      <c r="N185">
        <f t="shared" si="14"/>
        <v>10</v>
      </c>
      <c r="O185" t="str">
        <f t="shared" si="16"/>
        <v>Valid</v>
      </c>
      <c r="P185" s="1" t="str">
        <f>IF(N185&gt;=(VLOOKUP(B185,Lembar2!$B$19:$C$24,2,FALSE)+7),"Delayed","Ontime")</f>
        <v>Ontime</v>
      </c>
      <c r="Q185" s="3">
        <f t="shared" si="17"/>
        <v>22256.280000000002</v>
      </c>
      <c r="R185" s="3">
        <f t="shared" si="18"/>
        <v>21167.519999999997</v>
      </c>
      <c r="S185" s="3">
        <f t="shared" si="19"/>
        <v>1088.7600000000057</v>
      </c>
      <c r="T185">
        <f t="shared" si="20"/>
        <v>1</v>
      </c>
    </row>
    <row r="186" spans="1:20" x14ac:dyDescent="0.25">
      <c r="A186" t="s">
        <v>989</v>
      </c>
      <c r="B186" t="s">
        <v>807</v>
      </c>
      <c r="C186" s="1">
        <v>44676</v>
      </c>
      <c r="D186" s="1">
        <f>IF(E186="",C186+VLOOKUP(B186,Lembar2!$B$19:$C$24,2,FALSE),'Procurement Dataset'!E186)</f>
        <v>44687</v>
      </c>
      <c r="F186" t="s">
        <v>799</v>
      </c>
      <c r="G186" t="s">
        <v>796</v>
      </c>
      <c r="H186" s="5">
        <v>442</v>
      </c>
      <c r="I186" s="3">
        <v>41.73</v>
      </c>
      <c r="J186" s="3">
        <v>36.450000000000003</v>
      </c>
      <c r="K186" s="5">
        <f t="shared" si="15"/>
        <v>15</v>
      </c>
      <c r="L186">
        <v>15</v>
      </c>
      <c r="M186" t="s">
        <v>793</v>
      </c>
      <c r="N186" t="str">
        <f t="shared" si="14"/>
        <v/>
      </c>
      <c r="O186" t="str">
        <f t="shared" si="16"/>
        <v>Valid</v>
      </c>
      <c r="P186" s="1" t="str">
        <f>IF(N186&gt;=(VLOOKUP(B186,Lembar2!$B$19:$C$24,2,FALSE)+7),"Delayed","Ontime")</f>
        <v>Delayed</v>
      </c>
      <c r="Q186" s="3">
        <f t="shared" si="17"/>
        <v>18444.66</v>
      </c>
      <c r="R186" s="3">
        <f t="shared" si="18"/>
        <v>16110.900000000001</v>
      </c>
      <c r="S186" s="3">
        <f t="shared" si="19"/>
        <v>2333.7599999999984</v>
      </c>
      <c r="T186">
        <f t="shared" si="20"/>
        <v>0</v>
      </c>
    </row>
    <row r="187" spans="1:20" x14ac:dyDescent="0.25">
      <c r="A187" t="s">
        <v>990</v>
      </c>
      <c r="B187" t="s">
        <v>801</v>
      </c>
      <c r="C187" s="1">
        <v>44933</v>
      </c>
      <c r="D187" s="1">
        <f>IF(E187="",C187+VLOOKUP(B187,Lembar2!$B$19:$C$24,2,FALSE),'Procurement Dataset'!E187)</f>
        <v>44947</v>
      </c>
      <c r="E187" s="1">
        <v>44947</v>
      </c>
      <c r="F187" t="s">
        <v>817</v>
      </c>
      <c r="G187" t="s">
        <v>792</v>
      </c>
      <c r="H187" s="5">
        <v>256</v>
      </c>
      <c r="I187" s="3">
        <v>96.15</v>
      </c>
      <c r="J187" s="3">
        <v>83.44</v>
      </c>
      <c r="K187" s="5">
        <f t="shared" si="15"/>
        <v>26</v>
      </c>
      <c r="L187">
        <v>26</v>
      </c>
      <c r="M187" t="s">
        <v>793</v>
      </c>
      <c r="N187">
        <f t="shared" si="14"/>
        <v>14</v>
      </c>
      <c r="O187" t="str">
        <f t="shared" si="16"/>
        <v>Valid</v>
      </c>
      <c r="P187" s="1" t="str">
        <f>IF(N187&gt;=(VLOOKUP(B187,Lembar2!$B$19:$C$24,2,FALSE)+7),"Delayed","Ontime")</f>
        <v>Ontime</v>
      </c>
      <c r="Q187" s="3">
        <f t="shared" si="17"/>
        <v>24614.400000000001</v>
      </c>
      <c r="R187" s="3">
        <f t="shared" si="18"/>
        <v>21360.639999999999</v>
      </c>
      <c r="S187" s="3">
        <f t="shared" si="19"/>
        <v>3253.760000000002</v>
      </c>
      <c r="T187">
        <f t="shared" si="20"/>
        <v>1</v>
      </c>
    </row>
    <row r="188" spans="1:20" x14ac:dyDescent="0.25">
      <c r="A188" t="s">
        <v>991</v>
      </c>
      <c r="B188" t="s">
        <v>795</v>
      </c>
      <c r="C188" s="1">
        <v>44876</v>
      </c>
      <c r="D188" s="1">
        <f>IF(E188="",C188+VLOOKUP(B188,Lembar2!$B$19:$C$24,2,FALSE),'Procurement Dataset'!E188)</f>
        <v>44887</v>
      </c>
      <c r="F188" t="s">
        <v>799</v>
      </c>
      <c r="G188" t="s">
        <v>811</v>
      </c>
      <c r="H188" s="5">
        <v>1088</v>
      </c>
      <c r="I188" s="3">
        <v>55.29</v>
      </c>
      <c r="J188" s="3">
        <v>53.04</v>
      </c>
      <c r="K188" s="5">
        <f t="shared" si="15"/>
        <v>161</v>
      </c>
      <c r="L188">
        <v>161</v>
      </c>
      <c r="M188" t="s">
        <v>805</v>
      </c>
      <c r="N188" t="str">
        <f t="shared" si="14"/>
        <v/>
      </c>
      <c r="O188" t="str">
        <f t="shared" si="16"/>
        <v>Valid</v>
      </c>
      <c r="P188" s="1" t="str">
        <f>IF(N188&gt;=(VLOOKUP(B188,Lembar2!$B$19:$C$24,2,FALSE)+7),"Delayed","Ontime")</f>
        <v>Delayed</v>
      </c>
      <c r="Q188" s="3">
        <f t="shared" si="17"/>
        <v>60155.519999999997</v>
      </c>
      <c r="R188" s="3">
        <f t="shared" si="18"/>
        <v>57707.519999999997</v>
      </c>
      <c r="S188" s="3">
        <f t="shared" si="19"/>
        <v>2448</v>
      </c>
      <c r="T188">
        <f t="shared" si="20"/>
        <v>0</v>
      </c>
    </row>
    <row r="189" spans="1:20" x14ac:dyDescent="0.25">
      <c r="A189" t="s">
        <v>992</v>
      </c>
      <c r="B189" t="s">
        <v>801</v>
      </c>
      <c r="C189" s="1">
        <v>44807</v>
      </c>
      <c r="D189" s="1">
        <f>IF(E189="",C189+VLOOKUP(B189,Lembar2!$B$19:$C$24,2,FALSE),'Procurement Dataset'!E189)</f>
        <v>44811</v>
      </c>
      <c r="E189" s="1">
        <v>44811</v>
      </c>
      <c r="F189" t="s">
        <v>791</v>
      </c>
      <c r="G189" t="s">
        <v>796</v>
      </c>
      <c r="H189" s="5">
        <v>1931</v>
      </c>
      <c r="I189" s="3">
        <v>72.88</v>
      </c>
      <c r="J189" s="3">
        <v>64.69</v>
      </c>
      <c r="K189" s="5">
        <f t="shared" si="15"/>
        <v>187</v>
      </c>
      <c r="L189">
        <v>187</v>
      </c>
      <c r="M189" t="s">
        <v>793</v>
      </c>
      <c r="N189">
        <f t="shared" si="14"/>
        <v>4</v>
      </c>
      <c r="O189" t="str">
        <f t="shared" si="16"/>
        <v>Valid</v>
      </c>
      <c r="P189" s="1" t="str">
        <f>IF(N189&gt;=(VLOOKUP(B189,Lembar2!$B$19:$C$24,2,FALSE)+7),"Delayed","Ontime")</f>
        <v>Ontime</v>
      </c>
      <c r="Q189" s="3">
        <f t="shared" si="17"/>
        <v>140731.28</v>
      </c>
      <c r="R189" s="3">
        <f t="shared" si="18"/>
        <v>124916.39</v>
      </c>
      <c r="S189" s="3">
        <f t="shared" si="19"/>
        <v>15814.89</v>
      </c>
      <c r="T189">
        <f t="shared" si="20"/>
        <v>1</v>
      </c>
    </row>
    <row r="190" spans="1:20" x14ac:dyDescent="0.25">
      <c r="A190" t="s">
        <v>993</v>
      </c>
      <c r="B190" t="s">
        <v>798</v>
      </c>
      <c r="C190" s="1">
        <v>44621</v>
      </c>
      <c r="D190" s="1">
        <f>IF(E190="",C190+VLOOKUP(B190,Lembar2!$B$19:$C$24,2,FALSE),'Procurement Dataset'!E190)</f>
        <v>44631</v>
      </c>
      <c r="E190" s="1">
        <v>44631</v>
      </c>
      <c r="F190" t="s">
        <v>817</v>
      </c>
      <c r="G190" t="s">
        <v>796</v>
      </c>
      <c r="H190" s="5">
        <v>1627</v>
      </c>
      <c r="I190" s="3">
        <v>25.76</v>
      </c>
      <c r="J190" s="3">
        <v>25.09</v>
      </c>
      <c r="K190" s="5">
        <f t="shared" si="15"/>
        <v>74</v>
      </c>
      <c r="L190">
        <v>74</v>
      </c>
      <c r="M190" t="s">
        <v>793</v>
      </c>
      <c r="N190">
        <f t="shared" si="14"/>
        <v>10</v>
      </c>
      <c r="O190" t="str">
        <f t="shared" si="16"/>
        <v>Valid</v>
      </c>
      <c r="P190" s="1" t="str">
        <f>IF(N190&gt;=(VLOOKUP(B190,Lembar2!$B$19:$C$24,2,FALSE)+7),"Delayed","Ontime")</f>
        <v>Ontime</v>
      </c>
      <c r="Q190" s="3">
        <f t="shared" si="17"/>
        <v>41911.520000000004</v>
      </c>
      <c r="R190" s="3">
        <f t="shared" si="18"/>
        <v>40821.43</v>
      </c>
      <c r="S190" s="3">
        <f t="shared" si="19"/>
        <v>1090.0900000000038</v>
      </c>
      <c r="T190">
        <f t="shared" si="20"/>
        <v>1</v>
      </c>
    </row>
    <row r="191" spans="1:20" x14ac:dyDescent="0.25">
      <c r="A191" t="s">
        <v>994</v>
      </c>
      <c r="B191" t="s">
        <v>801</v>
      </c>
      <c r="C191" s="1">
        <v>44808</v>
      </c>
      <c r="D191" s="1">
        <f>IF(E191="",C191+VLOOKUP(B191,Lembar2!$B$19:$C$24,2,FALSE),'Procurement Dataset'!E191)</f>
        <v>44820</v>
      </c>
      <c r="F191" t="s">
        <v>802</v>
      </c>
      <c r="G191" t="s">
        <v>796</v>
      </c>
      <c r="H191" s="5">
        <v>941</v>
      </c>
      <c r="I191" s="3">
        <v>28.4</v>
      </c>
      <c r="J191" s="3">
        <v>27.21</v>
      </c>
      <c r="K191" s="5">
        <f t="shared" si="15"/>
        <v>0</v>
      </c>
      <c r="M191" t="s">
        <v>805</v>
      </c>
      <c r="N191" t="str">
        <f t="shared" si="14"/>
        <v/>
      </c>
      <c r="O191" t="str">
        <f t="shared" si="16"/>
        <v>Valid</v>
      </c>
      <c r="P191" s="1" t="str">
        <f>IF(N191&gt;=(VLOOKUP(B191,Lembar2!$B$19:$C$24,2,FALSE)+7),"Delayed","Ontime")</f>
        <v>Delayed</v>
      </c>
      <c r="Q191" s="3">
        <f t="shared" si="17"/>
        <v>26724.399999999998</v>
      </c>
      <c r="R191" s="3">
        <f t="shared" si="18"/>
        <v>25604.61</v>
      </c>
      <c r="S191" s="3">
        <f t="shared" si="19"/>
        <v>1119.7899999999972</v>
      </c>
      <c r="T191">
        <f t="shared" si="20"/>
        <v>0</v>
      </c>
    </row>
    <row r="192" spans="1:20" x14ac:dyDescent="0.25">
      <c r="A192" t="s">
        <v>995</v>
      </c>
      <c r="B192" t="s">
        <v>798</v>
      </c>
      <c r="C192" s="1">
        <v>45142</v>
      </c>
      <c r="D192" s="1">
        <f>IF(E192="",C192+VLOOKUP(B192,Lembar2!$B$19:$C$24,2,FALSE),'Procurement Dataset'!E192)</f>
        <v>45144</v>
      </c>
      <c r="E192" s="1">
        <v>45144</v>
      </c>
      <c r="F192" t="s">
        <v>799</v>
      </c>
      <c r="G192" t="s">
        <v>796</v>
      </c>
      <c r="H192" s="5">
        <v>1534</v>
      </c>
      <c r="I192" s="3">
        <v>14.98</v>
      </c>
      <c r="J192" s="3">
        <v>12.79</v>
      </c>
      <c r="K192" s="5">
        <f t="shared" si="15"/>
        <v>0</v>
      </c>
      <c r="M192" t="s">
        <v>793</v>
      </c>
      <c r="N192">
        <f t="shared" si="14"/>
        <v>2</v>
      </c>
      <c r="O192" t="str">
        <f t="shared" si="16"/>
        <v>Valid</v>
      </c>
      <c r="P192" s="1" t="str">
        <f>IF(N192&gt;=(VLOOKUP(B192,Lembar2!$B$19:$C$24,2,FALSE)+7),"Delayed","Ontime")</f>
        <v>Ontime</v>
      </c>
      <c r="Q192" s="3">
        <f t="shared" si="17"/>
        <v>22979.32</v>
      </c>
      <c r="R192" s="3">
        <f t="shared" si="18"/>
        <v>19619.859999999997</v>
      </c>
      <c r="S192" s="3">
        <f t="shared" si="19"/>
        <v>3359.4600000000028</v>
      </c>
      <c r="T192">
        <f t="shared" si="20"/>
        <v>1</v>
      </c>
    </row>
    <row r="193" spans="1:20" x14ac:dyDescent="0.25">
      <c r="A193" t="s">
        <v>996</v>
      </c>
      <c r="B193" t="s">
        <v>790</v>
      </c>
      <c r="C193" s="1">
        <v>44642</v>
      </c>
      <c r="D193" s="1">
        <f>IF(E193="",C193+VLOOKUP(B193,Lembar2!$B$19:$C$24,2,FALSE),'Procurement Dataset'!E193)</f>
        <v>44654</v>
      </c>
      <c r="E193" s="1">
        <v>44654</v>
      </c>
      <c r="F193" t="s">
        <v>804</v>
      </c>
      <c r="G193" t="s">
        <v>796</v>
      </c>
      <c r="H193" s="5">
        <v>1764</v>
      </c>
      <c r="I193" s="3">
        <v>25.46</v>
      </c>
      <c r="J193" s="3">
        <v>24.52</v>
      </c>
      <c r="K193" s="5">
        <f t="shared" si="15"/>
        <v>46</v>
      </c>
      <c r="L193">
        <v>46</v>
      </c>
      <c r="M193" t="s">
        <v>793</v>
      </c>
      <c r="N193">
        <f t="shared" si="14"/>
        <v>12</v>
      </c>
      <c r="O193" t="str">
        <f t="shared" si="16"/>
        <v>Valid</v>
      </c>
      <c r="P193" s="1" t="str">
        <f>IF(N193&gt;=(VLOOKUP(B193,Lembar2!$B$19:$C$24,2,FALSE)+7),"Delayed","Ontime")</f>
        <v>Ontime</v>
      </c>
      <c r="Q193" s="3">
        <f t="shared" si="17"/>
        <v>44911.44</v>
      </c>
      <c r="R193" s="3">
        <f t="shared" si="18"/>
        <v>43253.279999999999</v>
      </c>
      <c r="S193" s="3">
        <f t="shared" si="19"/>
        <v>1658.1600000000035</v>
      </c>
      <c r="T193">
        <f t="shared" si="20"/>
        <v>1</v>
      </c>
    </row>
    <row r="194" spans="1:20" x14ac:dyDescent="0.25">
      <c r="A194" t="s">
        <v>997</v>
      </c>
      <c r="B194" t="s">
        <v>795</v>
      </c>
      <c r="C194" s="1">
        <v>44649</v>
      </c>
      <c r="D194" s="1">
        <f>IF(E194="",C194+VLOOKUP(B194,Lembar2!$B$19:$C$24,2,FALSE),'Procurement Dataset'!E194)</f>
        <v>44657</v>
      </c>
      <c r="E194" s="1">
        <v>44657</v>
      </c>
      <c r="F194" t="s">
        <v>817</v>
      </c>
      <c r="G194" t="s">
        <v>796</v>
      </c>
      <c r="H194" s="5">
        <v>1648</v>
      </c>
      <c r="I194" s="3">
        <v>35.42</v>
      </c>
      <c r="J194" s="3">
        <v>31.46</v>
      </c>
      <c r="K194" s="5">
        <f t="shared" si="15"/>
        <v>0</v>
      </c>
      <c r="M194" t="s">
        <v>805</v>
      </c>
      <c r="N194">
        <f t="shared" ref="N194:N257" si="21">IF(E194 = "", "", E194-C194)</f>
        <v>8</v>
      </c>
      <c r="O194" t="str">
        <f t="shared" si="16"/>
        <v>Valid</v>
      </c>
      <c r="P194" s="1" t="str">
        <f>IF(N194&gt;=(VLOOKUP(B194,Lembar2!$B$19:$C$24,2,FALSE)+7),"Delayed","Ontime")</f>
        <v>Ontime</v>
      </c>
      <c r="Q194" s="3">
        <f t="shared" si="17"/>
        <v>58372.160000000003</v>
      </c>
      <c r="R194" s="3">
        <f t="shared" si="18"/>
        <v>51846.080000000002</v>
      </c>
      <c r="S194" s="3">
        <f t="shared" si="19"/>
        <v>6526.0800000000017</v>
      </c>
      <c r="T194">
        <f t="shared" si="20"/>
        <v>1</v>
      </c>
    </row>
    <row r="195" spans="1:20" x14ac:dyDescent="0.25">
      <c r="A195" t="s">
        <v>998</v>
      </c>
      <c r="B195" t="s">
        <v>798</v>
      </c>
      <c r="C195" s="1">
        <v>45059</v>
      </c>
      <c r="D195" s="1">
        <f>IF(E195="",C195+VLOOKUP(B195,Lembar2!$B$19:$C$24,2,FALSE),'Procurement Dataset'!E195)</f>
        <v>45078</v>
      </c>
      <c r="E195" s="1">
        <v>45078</v>
      </c>
      <c r="F195" t="s">
        <v>802</v>
      </c>
      <c r="G195" t="s">
        <v>796</v>
      </c>
      <c r="H195" s="5">
        <v>913</v>
      </c>
      <c r="I195" s="3">
        <v>28.01</v>
      </c>
      <c r="J195" s="3">
        <v>24.06</v>
      </c>
      <c r="K195" s="5">
        <f t="shared" ref="K195:K258" si="22">IF(L195="", 0, L195)</f>
        <v>53</v>
      </c>
      <c r="L195">
        <v>53</v>
      </c>
      <c r="M195" t="s">
        <v>793</v>
      </c>
      <c r="N195">
        <f t="shared" si="21"/>
        <v>19</v>
      </c>
      <c r="O195" t="str">
        <f t="shared" ref="O195:O258" si="23">IF(D195&lt;C195,"Invalid","Valid")</f>
        <v>Valid</v>
      </c>
      <c r="P195" s="1" t="str">
        <f>IF(N195&gt;=(VLOOKUP(B195,Lembar2!$B$19:$C$24,2,FALSE)+7),"Delayed","Ontime")</f>
        <v>Delayed</v>
      </c>
      <c r="Q195" s="3">
        <f t="shared" ref="Q195:Q258" si="24">H195*I195</f>
        <v>25573.13</v>
      </c>
      <c r="R195" s="3">
        <f t="shared" ref="R195:R258" si="25">H195*J195</f>
        <v>21966.78</v>
      </c>
      <c r="S195" s="3">
        <f t="shared" ref="S195:S258" si="26">Q195-R195</f>
        <v>3606.3500000000022</v>
      </c>
      <c r="T195">
        <f t="shared" ref="T195:T258" si="27">IF(P195="Ontime",1,0)</f>
        <v>0</v>
      </c>
    </row>
    <row r="196" spans="1:20" x14ac:dyDescent="0.25">
      <c r="A196" t="s">
        <v>999</v>
      </c>
      <c r="B196" t="s">
        <v>790</v>
      </c>
      <c r="C196" s="1">
        <v>44632</v>
      </c>
      <c r="D196" s="1">
        <f>IF(E196="",C196+VLOOKUP(B196,Lembar2!$B$19:$C$24,2,FALSE),'Procurement Dataset'!E196)</f>
        <v>44638</v>
      </c>
      <c r="E196" s="1">
        <v>44638</v>
      </c>
      <c r="F196" t="s">
        <v>802</v>
      </c>
      <c r="G196" t="s">
        <v>792</v>
      </c>
      <c r="H196" s="5">
        <v>792</v>
      </c>
      <c r="I196" s="3">
        <v>18.16</v>
      </c>
      <c r="J196" s="3">
        <v>17.25</v>
      </c>
      <c r="K196" s="5">
        <f t="shared" si="22"/>
        <v>17</v>
      </c>
      <c r="L196">
        <v>17</v>
      </c>
      <c r="M196" t="s">
        <v>793</v>
      </c>
      <c r="N196">
        <f t="shared" si="21"/>
        <v>6</v>
      </c>
      <c r="O196" t="str">
        <f t="shared" si="23"/>
        <v>Valid</v>
      </c>
      <c r="P196" s="1" t="str">
        <f>IF(N196&gt;=(VLOOKUP(B196,Lembar2!$B$19:$C$24,2,FALSE)+7),"Delayed","Ontime")</f>
        <v>Ontime</v>
      </c>
      <c r="Q196" s="3">
        <f t="shared" si="24"/>
        <v>14382.72</v>
      </c>
      <c r="R196" s="3">
        <f t="shared" si="25"/>
        <v>13662</v>
      </c>
      <c r="S196" s="3">
        <f t="shared" si="26"/>
        <v>720.71999999999935</v>
      </c>
      <c r="T196">
        <f t="shared" si="27"/>
        <v>1</v>
      </c>
    </row>
    <row r="197" spans="1:20" x14ac:dyDescent="0.25">
      <c r="A197" t="s">
        <v>1000</v>
      </c>
      <c r="B197" t="s">
        <v>807</v>
      </c>
      <c r="C197" s="1">
        <v>45107</v>
      </c>
      <c r="D197" s="1">
        <f>IF(E197="",C197+VLOOKUP(B197,Lembar2!$B$19:$C$24,2,FALSE),'Procurement Dataset'!E197)</f>
        <v>45110</v>
      </c>
      <c r="E197" s="1">
        <v>45110</v>
      </c>
      <c r="F197" t="s">
        <v>791</v>
      </c>
      <c r="G197" t="s">
        <v>811</v>
      </c>
      <c r="H197" s="5">
        <v>1314</v>
      </c>
      <c r="I197" s="3">
        <v>22.63</v>
      </c>
      <c r="J197" s="3">
        <v>21.06</v>
      </c>
      <c r="K197" s="5">
        <f t="shared" si="22"/>
        <v>44</v>
      </c>
      <c r="L197">
        <v>44</v>
      </c>
      <c r="M197" t="s">
        <v>793</v>
      </c>
      <c r="N197">
        <f t="shared" si="21"/>
        <v>3</v>
      </c>
      <c r="O197" t="str">
        <f t="shared" si="23"/>
        <v>Valid</v>
      </c>
      <c r="P197" s="1" t="str">
        <f>IF(N197&gt;=(VLOOKUP(B197,Lembar2!$B$19:$C$24,2,FALSE)+7),"Delayed","Ontime")</f>
        <v>Ontime</v>
      </c>
      <c r="Q197" s="3">
        <f t="shared" si="24"/>
        <v>29735.82</v>
      </c>
      <c r="R197" s="3">
        <f t="shared" si="25"/>
        <v>27672.839999999997</v>
      </c>
      <c r="S197" s="3">
        <f t="shared" si="26"/>
        <v>2062.9800000000032</v>
      </c>
      <c r="T197">
        <f t="shared" si="27"/>
        <v>1</v>
      </c>
    </row>
    <row r="198" spans="1:20" x14ac:dyDescent="0.25">
      <c r="A198" t="s">
        <v>1001</v>
      </c>
      <c r="B198" t="s">
        <v>801</v>
      </c>
      <c r="C198" s="1">
        <v>44690</v>
      </c>
      <c r="D198" s="1">
        <f>IF(E198="",C198+VLOOKUP(B198,Lembar2!$B$19:$C$24,2,FALSE),'Procurement Dataset'!E198)</f>
        <v>44703</v>
      </c>
      <c r="E198" s="1">
        <v>44703</v>
      </c>
      <c r="F198" t="s">
        <v>799</v>
      </c>
      <c r="G198" t="s">
        <v>796</v>
      </c>
      <c r="H198" s="5">
        <v>613</v>
      </c>
      <c r="I198" s="3">
        <v>52.5</v>
      </c>
      <c r="J198" s="3">
        <v>45.19</v>
      </c>
      <c r="K198" s="5">
        <f t="shared" si="22"/>
        <v>70</v>
      </c>
      <c r="L198">
        <v>70</v>
      </c>
      <c r="M198" t="s">
        <v>793</v>
      </c>
      <c r="N198">
        <f t="shared" si="21"/>
        <v>13</v>
      </c>
      <c r="O198" t="str">
        <f t="shared" si="23"/>
        <v>Valid</v>
      </c>
      <c r="P198" s="1" t="str">
        <f>IF(N198&gt;=(VLOOKUP(B198,Lembar2!$B$19:$C$24,2,FALSE)+7),"Delayed","Ontime")</f>
        <v>Ontime</v>
      </c>
      <c r="Q198" s="3">
        <f t="shared" si="24"/>
        <v>32182.5</v>
      </c>
      <c r="R198" s="3">
        <f t="shared" si="25"/>
        <v>27701.469999999998</v>
      </c>
      <c r="S198" s="3">
        <f t="shared" si="26"/>
        <v>4481.0300000000025</v>
      </c>
      <c r="T198">
        <f t="shared" si="27"/>
        <v>1</v>
      </c>
    </row>
    <row r="199" spans="1:20" x14ac:dyDescent="0.25">
      <c r="A199" t="s">
        <v>1002</v>
      </c>
      <c r="B199" t="s">
        <v>790</v>
      </c>
      <c r="C199" s="1">
        <v>44693</v>
      </c>
      <c r="D199" s="1">
        <f>IF(E199="",C199+VLOOKUP(B199,Lembar2!$B$19:$C$24,2,FALSE),'Procurement Dataset'!E199)</f>
        <v>44701</v>
      </c>
      <c r="E199" s="1">
        <v>44701</v>
      </c>
      <c r="F199" t="s">
        <v>791</v>
      </c>
      <c r="G199" t="s">
        <v>796</v>
      </c>
      <c r="H199" s="5">
        <v>1070</v>
      </c>
      <c r="I199" s="3">
        <v>29.14</v>
      </c>
      <c r="J199" s="3">
        <v>26.63</v>
      </c>
      <c r="K199" s="5">
        <f t="shared" si="22"/>
        <v>24</v>
      </c>
      <c r="L199">
        <v>24</v>
      </c>
      <c r="M199" t="s">
        <v>793</v>
      </c>
      <c r="N199">
        <f t="shared" si="21"/>
        <v>8</v>
      </c>
      <c r="O199" t="str">
        <f t="shared" si="23"/>
        <v>Valid</v>
      </c>
      <c r="P199" s="1" t="str">
        <f>IF(N199&gt;=(VLOOKUP(B199,Lembar2!$B$19:$C$24,2,FALSE)+7),"Delayed","Ontime")</f>
        <v>Ontime</v>
      </c>
      <c r="Q199" s="3">
        <f t="shared" si="24"/>
        <v>31179.8</v>
      </c>
      <c r="R199" s="3">
        <f t="shared" si="25"/>
        <v>28494.1</v>
      </c>
      <c r="S199" s="3">
        <f t="shared" si="26"/>
        <v>2685.7000000000007</v>
      </c>
      <c r="T199">
        <f t="shared" si="27"/>
        <v>1</v>
      </c>
    </row>
    <row r="200" spans="1:20" x14ac:dyDescent="0.25">
      <c r="A200" t="s">
        <v>1003</v>
      </c>
      <c r="B200" t="s">
        <v>798</v>
      </c>
      <c r="C200" s="1">
        <v>45237</v>
      </c>
      <c r="D200" s="1">
        <f>IF(E200="",C200+VLOOKUP(B200,Lembar2!$B$19:$C$24,2,FALSE),'Procurement Dataset'!E200)</f>
        <v>45256</v>
      </c>
      <c r="E200" s="1">
        <v>45256</v>
      </c>
      <c r="F200" t="s">
        <v>804</v>
      </c>
      <c r="G200" t="s">
        <v>811</v>
      </c>
      <c r="H200" s="5">
        <v>145</v>
      </c>
      <c r="I200" s="3">
        <v>47.49</v>
      </c>
      <c r="J200" s="3">
        <v>42.76</v>
      </c>
      <c r="K200" s="5">
        <f t="shared" si="22"/>
        <v>6</v>
      </c>
      <c r="L200">
        <v>6</v>
      </c>
      <c r="M200" t="s">
        <v>793</v>
      </c>
      <c r="N200">
        <f t="shared" si="21"/>
        <v>19</v>
      </c>
      <c r="O200" t="str">
        <f t="shared" si="23"/>
        <v>Valid</v>
      </c>
      <c r="P200" s="1" t="str">
        <f>IF(N200&gt;=(VLOOKUP(B200,Lembar2!$B$19:$C$24,2,FALSE)+7),"Delayed","Ontime")</f>
        <v>Delayed</v>
      </c>
      <c r="Q200" s="3">
        <f t="shared" si="24"/>
        <v>6886.05</v>
      </c>
      <c r="R200" s="3">
        <f t="shared" si="25"/>
        <v>6200.2</v>
      </c>
      <c r="S200" s="3">
        <f t="shared" si="26"/>
        <v>685.85000000000036</v>
      </c>
      <c r="T200">
        <f t="shared" si="27"/>
        <v>0</v>
      </c>
    </row>
    <row r="201" spans="1:20" x14ac:dyDescent="0.25">
      <c r="A201" t="s">
        <v>1004</v>
      </c>
      <c r="B201" t="s">
        <v>795</v>
      </c>
      <c r="C201" s="1">
        <v>45048</v>
      </c>
      <c r="D201" s="1">
        <f>IF(E201="",C201+VLOOKUP(B201,Lembar2!$B$19:$C$24,2,FALSE),'Procurement Dataset'!E201)</f>
        <v>45063</v>
      </c>
      <c r="E201" s="1">
        <v>45063</v>
      </c>
      <c r="F201" t="s">
        <v>804</v>
      </c>
      <c r="G201" t="s">
        <v>796</v>
      </c>
      <c r="H201" s="5">
        <v>1973</v>
      </c>
      <c r="I201" s="3">
        <v>59.73</v>
      </c>
      <c r="J201" s="3">
        <v>54.95</v>
      </c>
      <c r="K201" s="5">
        <f t="shared" si="22"/>
        <v>291</v>
      </c>
      <c r="L201">
        <v>291</v>
      </c>
      <c r="M201" t="s">
        <v>793</v>
      </c>
      <c r="N201">
        <f t="shared" si="21"/>
        <v>15</v>
      </c>
      <c r="O201" t="str">
        <f t="shared" si="23"/>
        <v>Valid</v>
      </c>
      <c r="P201" s="1" t="str">
        <f>IF(N201&gt;=(VLOOKUP(B201,Lembar2!$B$19:$C$24,2,FALSE)+7),"Delayed","Ontime")</f>
        <v>Ontime</v>
      </c>
      <c r="Q201" s="3">
        <f t="shared" si="24"/>
        <v>117847.29</v>
      </c>
      <c r="R201" s="3">
        <f t="shared" si="25"/>
        <v>108416.35</v>
      </c>
      <c r="S201" s="3">
        <f t="shared" si="26"/>
        <v>9430.9399999999878</v>
      </c>
      <c r="T201">
        <f t="shared" si="27"/>
        <v>1</v>
      </c>
    </row>
    <row r="202" spans="1:20" x14ac:dyDescent="0.25">
      <c r="A202" t="s">
        <v>1005</v>
      </c>
      <c r="B202" t="s">
        <v>807</v>
      </c>
      <c r="C202" s="1">
        <v>45124</v>
      </c>
      <c r="D202" s="1">
        <f>IF(E202="",C202+VLOOKUP(B202,Lembar2!$B$19:$C$24,2,FALSE),'Procurement Dataset'!E202)</f>
        <v>45139</v>
      </c>
      <c r="E202" s="1">
        <v>45139</v>
      </c>
      <c r="F202" t="s">
        <v>791</v>
      </c>
      <c r="G202" t="s">
        <v>796</v>
      </c>
      <c r="H202" s="5">
        <v>1807</v>
      </c>
      <c r="I202" s="3">
        <v>78.63</v>
      </c>
      <c r="J202" s="3">
        <v>73.08</v>
      </c>
      <c r="K202" s="5">
        <f t="shared" si="22"/>
        <v>100</v>
      </c>
      <c r="L202">
        <v>100</v>
      </c>
      <c r="M202" t="s">
        <v>793</v>
      </c>
      <c r="N202">
        <f t="shared" si="21"/>
        <v>15</v>
      </c>
      <c r="O202" t="str">
        <f t="shared" si="23"/>
        <v>Valid</v>
      </c>
      <c r="P202" s="1" t="str">
        <f>IF(N202&gt;=(VLOOKUP(B202,Lembar2!$B$19:$C$24,2,FALSE)+7),"Delayed","Ontime")</f>
        <v>Ontime</v>
      </c>
      <c r="Q202" s="3">
        <f t="shared" si="24"/>
        <v>142084.41</v>
      </c>
      <c r="R202" s="3">
        <f t="shared" si="25"/>
        <v>132055.56</v>
      </c>
      <c r="S202" s="3">
        <f t="shared" si="26"/>
        <v>10028.850000000006</v>
      </c>
      <c r="T202">
        <f t="shared" si="27"/>
        <v>1</v>
      </c>
    </row>
    <row r="203" spans="1:20" x14ac:dyDescent="0.25">
      <c r="A203" t="s">
        <v>1006</v>
      </c>
      <c r="B203" t="s">
        <v>807</v>
      </c>
      <c r="C203" s="1">
        <v>44731</v>
      </c>
      <c r="D203" s="1">
        <f>IF(E203="",C203+VLOOKUP(B203,Lembar2!$B$19:$C$24,2,FALSE),'Procurement Dataset'!E203)</f>
        <v>44732</v>
      </c>
      <c r="E203" s="1">
        <v>44732</v>
      </c>
      <c r="F203" t="s">
        <v>817</v>
      </c>
      <c r="G203" t="s">
        <v>796</v>
      </c>
      <c r="H203" s="5">
        <v>534</v>
      </c>
      <c r="I203" s="3">
        <v>13.88</v>
      </c>
      <c r="J203" s="3">
        <v>12.51</v>
      </c>
      <c r="K203" s="5">
        <f t="shared" si="22"/>
        <v>100</v>
      </c>
      <c r="L203">
        <v>100</v>
      </c>
      <c r="M203" t="s">
        <v>793</v>
      </c>
      <c r="N203">
        <f t="shared" si="21"/>
        <v>1</v>
      </c>
      <c r="O203" t="str">
        <f t="shared" si="23"/>
        <v>Valid</v>
      </c>
      <c r="P203" s="1" t="str">
        <f>IF(N203&gt;=(VLOOKUP(B203,Lembar2!$B$19:$C$24,2,FALSE)+7),"Delayed","Ontime")</f>
        <v>Ontime</v>
      </c>
      <c r="Q203" s="3">
        <f t="shared" si="24"/>
        <v>7411.92</v>
      </c>
      <c r="R203" s="3">
        <f t="shared" si="25"/>
        <v>6680.34</v>
      </c>
      <c r="S203" s="3">
        <f t="shared" si="26"/>
        <v>731.57999999999993</v>
      </c>
      <c r="T203">
        <f t="shared" si="27"/>
        <v>1</v>
      </c>
    </row>
    <row r="204" spans="1:20" x14ac:dyDescent="0.25">
      <c r="A204" t="s">
        <v>1007</v>
      </c>
      <c r="B204" t="s">
        <v>790</v>
      </c>
      <c r="C204" s="1">
        <v>44833</v>
      </c>
      <c r="D204" s="1">
        <f>IF(E204="",C204+VLOOKUP(B204,Lembar2!$B$19:$C$24,2,FALSE),'Procurement Dataset'!E204)</f>
        <v>44848</v>
      </c>
      <c r="E204" s="1">
        <v>44848</v>
      </c>
      <c r="F204" t="s">
        <v>817</v>
      </c>
      <c r="G204" t="s">
        <v>796</v>
      </c>
      <c r="H204" s="5">
        <v>1480</v>
      </c>
      <c r="I204" s="3">
        <v>85.22</v>
      </c>
      <c r="J204" s="3">
        <v>75.48</v>
      </c>
      <c r="K204" s="5">
        <f t="shared" si="22"/>
        <v>100</v>
      </c>
      <c r="L204">
        <v>100</v>
      </c>
      <c r="M204" t="s">
        <v>793</v>
      </c>
      <c r="N204">
        <f t="shared" si="21"/>
        <v>15</v>
      </c>
      <c r="O204" t="str">
        <f t="shared" si="23"/>
        <v>Valid</v>
      </c>
      <c r="P204" s="1" t="str">
        <f>IF(N204&gt;=(VLOOKUP(B204,Lembar2!$B$19:$C$24,2,FALSE)+7),"Delayed","Ontime")</f>
        <v>Ontime</v>
      </c>
      <c r="Q204" s="3">
        <f t="shared" si="24"/>
        <v>126125.59999999999</v>
      </c>
      <c r="R204" s="3">
        <f t="shared" si="25"/>
        <v>111710.40000000001</v>
      </c>
      <c r="S204" s="3">
        <f t="shared" si="26"/>
        <v>14415.199999999983</v>
      </c>
      <c r="T204">
        <f t="shared" si="27"/>
        <v>1</v>
      </c>
    </row>
    <row r="205" spans="1:20" x14ac:dyDescent="0.25">
      <c r="A205" t="s">
        <v>1008</v>
      </c>
      <c r="B205" t="s">
        <v>790</v>
      </c>
      <c r="C205" s="1">
        <v>45102</v>
      </c>
      <c r="D205" s="1">
        <f>IF(E205="",C205+VLOOKUP(B205,Lembar2!$B$19:$C$24,2,FALSE),'Procurement Dataset'!E205)</f>
        <v>45113</v>
      </c>
      <c r="F205" t="s">
        <v>791</v>
      </c>
      <c r="G205" t="s">
        <v>796</v>
      </c>
      <c r="H205" s="5">
        <v>280</v>
      </c>
      <c r="I205" s="3">
        <v>72.16</v>
      </c>
      <c r="J205" s="3">
        <v>62.38</v>
      </c>
      <c r="K205" s="5">
        <f t="shared" si="22"/>
        <v>100</v>
      </c>
      <c r="L205">
        <v>100</v>
      </c>
      <c r="M205" t="s">
        <v>793</v>
      </c>
      <c r="N205" t="str">
        <f t="shared" si="21"/>
        <v/>
      </c>
      <c r="O205" t="str">
        <f t="shared" si="23"/>
        <v>Valid</v>
      </c>
      <c r="P205" s="1" t="str">
        <f>IF(N205&gt;=(VLOOKUP(B205,Lembar2!$B$19:$C$24,2,FALSE)+7),"Delayed","Ontime")</f>
        <v>Delayed</v>
      </c>
      <c r="Q205" s="3">
        <f t="shared" si="24"/>
        <v>20204.8</v>
      </c>
      <c r="R205" s="3">
        <f t="shared" si="25"/>
        <v>17466.400000000001</v>
      </c>
      <c r="S205" s="3">
        <f t="shared" si="26"/>
        <v>2738.3999999999978</v>
      </c>
      <c r="T205">
        <f t="shared" si="27"/>
        <v>0</v>
      </c>
    </row>
    <row r="206" spans="1:20" x14ac:dyDescent="0.25">
      <c r="A206" t="s">
        <v>1009</v>
      </c>
      <c r="B206" t="s">
        <v>801</v>
      </c>
      <c r="C206" s="1">
        <v>45183</v>
      </c>
      <c r="D206" s="1">
        <f>IF(E206="",C206+VLOOKUP(B206,Lembar2!$B$19:$C$24,2,FALSE),'Procurement Dataset'!E206)</f>
        <v>45189</v>
      </c>
      <c r="E206" s="1">
        <v>45189</v>
      </c>
      <c r="F206" t="s">
        <v>791</v>
      </c>
      <c r="G206" t="s">
        <v>792</v>
      </c>
      <c r="H206" s="5">
        <v>798</v>
      </c>
      <c r="I206" s="3">
        <v>19.09</v>
      </c>
      <c r="J206" s="3">
        <v>17.760000000000002</v>
      </c>
      <c r="K206" s="5">
        <f t="shared" si="22"/>
        <v>100</v>
      </c>
      <c r="L206">
        <v>100</v>
      </c>
      <c r="M206" t="s">
        <v>793</v>
      </c>
      <c r="N206">
        <f t="shared" si="21"/>
        <v>6</v>
      </c>
      <c r="O206" t="str">
        <f t="shared" si="23"/>
        <v>Valid</v>
      </c>
      <c r="P206" s="1" t="str">
        <f>IF(N206&gt;=(VLOOKUP(B206,Lembar2!$B$19:$C$24,2,FALSE)+7),"Delayed","Ontime")</f>
        <v>Ontime</v>
      </c>
      <c r="Q206" s="3">
        <f t="shared" si="24"/>
        <v>15233.82</v>
      </c>
      <c r="R206" s="3">
        <f t="shared" si="25"/>
        <v>14172.480000000001</v>
      </c>
      <c r="S206" s="3">
        <f t="shared" si="26"/>
        <v>1061.3399999999983</v>
      </c>
      <c r="T206">
        <f t="shared" si="27"/>
        <v>1</v>
      </c>
    </row>
    <row r="207" spans="1:20" x14ac:dyDescent="0.25">
      <c r="A207" t="s">
        <v>1010</v>
      </c>
      <c r="B207" t="s">
        <v>807</v>
      </c>
      <c r="C207" s="1">
        <v>44995</v>
      </c>
      <c r="D207" s="1">
        <f>IF(E207="",C207+VLOOKUP(B207,Lembar2!$B$19:$C$24,2,FALSE),'Procurement Dataset'!E207)</f>
        <v>45007</v>
      </c>
      <c r="E207" s="1">
        <v>45007</v>
      </c>
      <c r="F207" t="s">
        <v>817</v>
      </c>
      <c r="G207" t="s">
        <v>796</v>
      </c>
      <c r="H207" s="5">
        <v>1728</v>
      </c>
      <c r="I207" s="3">
        <v>94.83</v>
      </c>
      <c r="J207" s="3">
        <v>90.2</v>
      </c>
      <c r="K207" s="5">
        <f t="shared" si="22"/>
        <v>100</v>
      </c>
      <c r="L207">
        <v>100</v>
      </c>
      <c r="M207" t="s">
        <v>793</v>
      </c>
      <c r="N207">
        <f t="shared" si="21"/>
        <v>12</v>
      </c>
      <c r="O207" t="str">
        <f t="shared" si="23"/>
        <v>Valid</v>
      </c>
      <c r="P207" s="1" t="str">
        <f>IF(N207&gt;=(VLOOKUP(B207,Lembar2!$B$19:$C$24,2,FALSE)+7),"Delayed","Ontime")</f>
        <v>Ontime</v>
      </c>
      <c r="Q207" s="3">
        <f t="shared" si="24"/>
        <v>163866.23999999999</v>
      </c>
      <c r="R207" s="3">
        <f t="shared" si="25"/>
        <v>155865.60000000001</v>
      </c>
      <c r="S207" s="3">
        <f t="shared" si="26"/>
        <v>8000.6399999999849</v>
      </c>
      <c r="T207">
        <f t="shared" si="27"/>
        <v>1</v>
      </c>
    </row>
    <row r="208" spans="1:20" x14ac:dyDescent="0.25">
      <c r="A208" t="s">
        <v>1011</v>
      </c>
      <c r="B208" t="s">
        <v>807</v>
      </c>
      <c r="C208" s="1">
        <v>44778</v>
      </c>
      <c r="D208" s="1">
        <f>IF(E208="",C208+VLOOKUP(B208,Lembar2!$B$19:$C$24,2,FALSE),'Procurement Dataset'!E208)</f>
        <v>44789</v>
      </c>
      <c r="F208" t="s">
        <v>799</v>
      </c>
      <c r="G208" t="s">
        <v>796</v>
      </c>
      <c r="H208" s="5">
        <v>1244</v>
      </c>
      <c r="I208" s="3">
        <v>96.13</v>
      </c>
      <c r="J208" s="3">
        <v>84.78</v>
      </c>
      <c r="K208" s="5">
        <f t="shared" si="22"/>
        <v>43</v>
      </c>
      <c r="L208">
        <v>43</v>
      </c>
      <c r="M208" t="s">
        <v>793</v>
      </c>
      <c r="N208" t="str">
        <f t="shared" si="21"/>
        <v/>
      </c>
      <c r="O208" t="str">
        <f t="shared" si="23"/>
        <v>Valid</v>
      </c>
      <c r="P208" s="1" t="str">
        <f>IF(N208&gt;=(VLOOKUP(B208,Lembar2!$B$19:$C$24,2,FALSE)+7),"Delayed","Ontime")</f>
        <v>Delayed</v>
      </c>
      <c r="Q208" s="3">
        <f t="shared" si="24"/>
        <v>119585.72</v>
      </c>
      <c r="R208" s="3">
        <f t="shared" si="25"/>
        <v>105466.32</v>
      </c>
      <c r="S208" s="3">
        <f t="shared" si="26"/>
        <v>14119.399999999994</v>
      </c>
      <c r="T208">
        <f t="shared" si="27"/>
        <v>0</v>
      </c>
    </row>
    <row r="209" spans="1:20" x14ac:dyDescent="0.25">
      <c r="A209" t="s">
        <v>1012</v>
      </c>
      <c r="B209" t="s">
        <v>801</v>
      </c>
      <c r="C209" s="1">
        <v>45114</v>
      </c>
      <c r="D209" s="1">
        <f>IF(E209="",C209+VLOOKUP(B209,Lembar2!$B$19:$C$24,2,FALSE),'Procurement Dataset'!E209)</f>
        <v>45128</v>
      </c>
      <c r="E209" s="1">
        <v>45128</v>
      </c>
      <c r="F209" t="s">
        <v>791</v>
      </c>
      <c r="G209" t="s">
        <v>796</v>
      </c>
      <c r="H209" s="5">
        <v>590</v>
      </c>
      <c r="I209" s="3">
        <v>16.89</v>
      </c>
      <c r="J209" s="3">
        <v>15.56</v>
      </c>
      <c r="K209" s="5">
        <f t="shared" si="22"/>
        <v>46</v>
      </c>
      <c r="L209">
        <v>46</v>
      </c>
      <c r="M209" t="s">
        <v>805</v>
      </c>
      <c r="N209">
        <f t="shared" si="21"/>
        <v>14</v>
      </c>
      <c r="O209" t="str">
        <f t="shared" si="23"/>
        <v>Valid</v>
      </c>
      <c r="P209" s="1" t="str">
        <f>IF(N209&gt;=(VLOOKUP(B209,Lembar2!$B$19:$C$24,2,FALSE)+7),"Delayed","Ontime")</f>
        <v>Ontime</v>
      </c>
      <c r="Q209" s="3">
        <f t="shared" si="24"/>
        <v>9965.1</v>
      </c>
      <c r="R209" s="3">
        <f t="shared" si="25"/>
        <v>9180.4</v>
      </c>
      <c r="S209" s="3">
        <f t="shared" si="26"/>
        <v>784.70000000000073</v>
      </c>
      <c r="T209">
        <f t="shared" si="27"/>
        <v>1</v>
      </c>
    </row>
    <row r="210" spans="1:20" x14ac:dyDescent="0.25">
      <c r="A210" t="s">
        <v>1013</v>
      </c>
      <c r="B210" t="s">
        <v>795</v>
      </c>
      <c r="C210" s="1">
        <v>45268</v>
      </c>
      <c r="D210" s="1">
        <f>IF(E210="",C210+VLOOKUP(B210,Lembar2!$B$19:$C$24,2,FALSE),'Procurement Dataset'!E210)</f>
        <v>45283</v>
      </c>
      <c r="E210" s="1">
        <v>45283</v>
      </c>
      <c r="F210" t="s">
        <v>802</v>
      </c>
      <c r="G210" t="s">
        <v>796</v>
      </c>
      <c r="H210" s="5">
        <v>1109</v>
      </c>
      <c r="I210" s="3">
        <v>38.93</v>
      </c>
      <c r="J210" s="3">
        <v>33.33</v>
      </c>
      <c r="K210" s="5">
        <f t="shared" si="22"/>
        <v>152</v>
      </c>
      <c r="L210">
        <v>152</v>
      </c>
      <c r="M210" t="s">
        <v>793</v>
      </c>
      <c r="N210">
        <f t="shared" si="21"/>
        <v>15</v>
      </c>
      <c r="O210" t="str">
        <f t="shared" si="23"/>
        <v>Valid</v>
      </c>
      <c r="P210" s="1" t="str">
        <f>IF(N210&gt;=(VLOOKUP(B210,Lembar2!$B$19:$C$24,2,FALSE)+7),"Delayed","Ontime")</f>
        <v>Ontime</v>
      </c>
      <c r="Q210" s="3">
        <f t="shared" si="24"/>
        <v>43173.37</v>
      </c>
      <c r="R210" s="3">
        <f t="shared" si="25"/>
        <v>36962.97</v>
      </c>
      <c r="S210" s="3">
        <f t="shared" si="26"/>
        <v>6210.4000000000015</v>
      </c>
      <c r="T210">
        <f t="shared" si="27"/>
        <v>1</v>
      </c>
    </row>
    <row r="211" spans="1:20" x14ac:dyDescent="0.25">
      <c r="A211" t="s">
        <v>1014</v>
      </c>
      <c r="B211" t="s">
        <v>801</v>
      </c>
      <c r="C211" s="1">
        <v>44767</v>
      </c>
      <c r="D211" s="1">
        <f>IF(E211="",C211+VLOOKUP(B211,Lembar2!$B$19:$C$24,2,FALSE),'Procurement Dataset'!E211)</f>
        <v>44774</v>
      </c>
      <c r="E211" s="1">
        <v>44774</v>
      </c>
      <c r="F211" t="s">
        <v>799</v>
      </c>
      <c r="G211" t="s">
        <v>796</v>
      </c>
      <c r="H211" s="5">
        <v>574</v>
      </c>
      <c r="I211" s="3">
        <v>85.03</v>
      </c>
      <c r="J211" s="3">
        <v>82.55</v>
      </c>
      <c r="K211" s="5">
        <f t="shared" si="22"/>
        <v>54</v>
      </c>
      <c r="L211">
        <v>54</v>
      </c>
      <c r="M211" t="s">
        <v>793</v>
      </c>
      <c r="N211">
        <f t="shared" si="21"/>
        <v>7</v>
      </c>
      <c r="O211" t="str">
        <f t="shared" si="23"/>
        <v>Valid</v>
      </c>
      <c r="P211" s="1" t="str">
        <f>IF(N211&gt;=(VLOOKUP(B211,Lembar2!$B$19:$C$24,2,FALSE)+7),"Delayed","Ontime")</f>
        <v>Ontime</v>
      </c>
      <c r="Q211" s="3">
        <f t="shared" si="24"/>
        <v>48807.22</v>
      </c>
      <c r="R211" s="3">
        <f t="shared" si="25"/>
        <v>47383.7</v>
      </c>
      <c r="S211" s="3">
        <f t="shared" si="26"/>
        <v>1423.5200000000041</v>
      </c>
      <c r="T211">
        <f t="shared" si="27"/>
        <v>1</v>
      </c>
    </row>
    <row r="212" spans="1:20" x14ac:dyDescent="0.25">
      <c r="A212" t="s">
        <v>1015</v>
      </c>
      <c r="B212" t="s">
        <v>798</v>
      </c>
      <c r="C212" s="1">
        <v>45292</v>
      </c>
      <c r="D212" s="1">
        <f>IF(E212="",C212+VLOOKUP(B212,Lembar2!$B$19:$C$24,2,FALSE),'Procurement Dataset'!E212)</f>
        <v>45302</v>
      </c>
      <c r="F212" t="s">
        <v>791</v>
      </c>
      <c r="G212" t="s">
        <v>796</v>
      </c>
      <c r="H212" s="5">
        <v>1233</v>
      </c>
      <c r="I212" s="3">
        <v>86.62</v>
      </c>
      <c r="J212" s="3">
        <v>76.59</v>
      </c>
      <c r="K212" s="5">
        <f t="shared" si="22"/>
        <v>65</v>
      </c>
      <c r="L212">
        <v>65</v>
      </c>
      <c r="M212" t="s">
        <v>793</v>
      </c>
      <c r="N212" t="str">
        <f t="shared" si="21"/>
        <v/>
      </c>
      <c r="O212" t="str">
        <f t="shared" si="23"/>
        <v>Valid</v>
      </c>
      <c r="P212" s="1" t="str">
        <f>IF(N212&gt;=(VLOOKUP(B212,Lembar2!$B$19:$C$24,2,FALSE)+7),"Delayed","Ontime")</f>
        <v>Delayed</v>
      </c>
      <c r="Q212" s="3">
        <f t="shared" si="24"/>
        <v>106802.46</v>
      </c>
      <c r="R212" s="3">
        <f t="shared" si="25"/>
        <v>94435.47</v>
      </c>
      <c r="S212" s="3">
        <f t="shared" si="26"/>
        <v>12366.990000000005</v>
      </c>
      <c r="T212">
        <f t="shared" si="27"/>
        <v>0</v>
      </c>
    </row>
    <row r="213" spans="1:20" x14ac:dyDescent="0.25">
      <c r="A213" t="s">
        <v>1016</v>
      </c>
      <c r="B213" t="s">
        <v>798</v>
      </c>
      <c r="C213" s="1">
        <v>44881</v>
      </c>
      <c r="D213" s="1">
        <f>IF(E213="",C213+VLOOKUP(B213,Lembar2!$B$19:$C$24,2,FALSE),'Procurement Dataset'!E213)</f>
        <v>44885</v>
      </c>
      <c r="E213" s="1">
        <v>44885</v>
      </c>
      <c r="F213" t="s">
        <v>802</v>
      </c>
      <c r="G213" t="s">
        <v>796</v>
      </c>
      <c r="H213" s="5">
        <v>1912</v>
      </c>
      <c r="I213" s="3">
        <v>27.94</v>
      </c>
      <c r="J213" s="3">
        <v>25.59</v>
      </c>
      <c r="K213" s="5">
        <f t="shared" si="22"/>
        <v>83</v>
      </c>
      <c r="L213">
        <v>83</v>
      </c>
      <c r="M213" t="s">
        <v>805</v>
      </c>
      <c r="N213">
        <f t="shared" si="21"/>
        <v>4</v>
      </c>
      <c r="O213" t="str">
        <f t="shared" si="23"/>
        <v>Valid</v>
      </c>
      <c r="P213" s="1" t="str">
        <f>IF(N213&gt;=(VLOOKUP(B213,Lembar2!$B$19:$C$24,2,FALSE)+7),"Delayed","Ontime")</f>
        <v>Ontime</v>
      </c>
      <c r="Q213" s="3">
        <f t="shared" si="24"/>
        <v>53421.279999999999</v>
      </c>
      <c r="R213" s="3">
        <f t="shared" si="25"/>
        <v>48928.08</v>
      </c>
      <c r="S213" s="3">
        <f t="shared" si="26"/>
        <v>4493.1999999999971</v>
      </c>
      <c r="T213">
        <f t="shared" si="27"/>
        <v>1</v>
      </c>
    </row>
    <row r="214" spans="1:20" x14ac:dyDescent="0.25">
      <c r="A214" t="s">
        <v>1017</v>
      </c>
      <c r="B214" t="s">
        <v>790</v>
      </c>
      <c r="C214" s="1">
        <v>44970</v>
      </c>
      <c r="D214" s="1">
        <f>IF(E214="",C214+VLOOKUP(B214,Lembar2!$B$19:$C$24,2,FALSE),'Procurement Dataset'!E214)</f>
        <v>44989</v>
      </c>
      <c r="E214" s="1">
        <v>44989</v>
      </c>
      <c r="F214" t="s">
        <v>802</v>
      </c>
      <c r="G214" t="s">
        <v>796</v>
      </c>
      <c r="H214" s="5">
        <v>1772</v>
      </c>
      <c r="I214" s="3">
        <v>30.72</v>
      </c>
      <c r="J214" s="3">
        <v>27.76</v>
      </c>
      <c r="K214" s="5">
        <f t="shared" si="22"/>
        <v>46</v>
      </c>
      <c r="L214">
        <v>46</v>
      </c>
      <c r="M214" t="s">
        <v>805</v>
      </c>
      <c r="N214">
        <f t="shared" si="21"/>
        <v>19</v>
      </c>
      <c r="O214" t="str">
        <f t="shared" si="23"/>
        <v>Valid</v>
      </c>
      <c r="P214" s="1" t="str">
        <f>IF(N214&gt;=(VLOOKUP(B214,Lembar2!$B$19:$C$24,2,FALSE)+7),"Delayed","Ontime")</f>
        <v>Delayed</v>
      </c>
      <c r="Q214" s="3">
        <f t="shared" si="24"/>
        <v>54435.839999999997</v>
      </c>
      <c r="R214" s="3">
        <f t="shared" si="25"/>
        <v>49190.720000000001</v>
      </c>
      <c r="S214" s="3">
        <f t="shared" si="26"/>
        <v>5245.1199999999953</v>
      </c>
      <c r="T214">
        <f t="shared" si="27"/>
        <v>0</v>
      </c>
    </row>
    <row r="215" spans="1:20" x14ac:dyDescent="0.25">
      <c r="A215" t="s">
        <v>1018</v>
      </c>
      <c r="B215" t="s">
        <v>801</v>
      </c>
      <c r="C215" s="1">
        <v>45249</v>
      </c>
      <c r="D215" s="1">
        <f>IF(E215="",C215+VLOOKUP(B215,Lembar2!$B$19:$C$24,2,FALSE),'Procurement Dataset'!E215)</f>
        <v>45259</v>
      </c>
      <c r="E215" s="1">
        <v>45259</v>
      </c>
      <c r="F215" t="s">
        <v>791</v>
      </c>
      <c r="G215" t="s">
        <v>796</v>
      </c>
      <c r="H215" s="5">
        <v>1316</v>
      </c>
      <c r="I215" s="3">
        <v>48.11</v>
      </c>
      <c r="J215" s="3">
        <v>41.9</v>
      </c>
      <c r="K215" s="5">
        <f t="shared" si="22"/>
        <v>135</v>
      </c>
      <c r="L215">
        <v>135</v>
      </c>
      <c r="M215" t="s">
        <v>793</v>
      </c>
      <c r="N215">
        <f t="shared" si="21"/>
        <v>10</v>
      </c>
      <c r="O215" t="str">
        <f t="shared" si="23"/>
        <v>Valid</v>
      </c>
      <c r="P215" s="1" t="str">
        <f>IF(N215&gt;=(VLOOKUP(B215,Lembar2!$B$19:$C$24,2,FALSE)+7),"Delayed","Ontime")</f>
        <v>Ontime</v>
      </c>
      <c r="Q215" s="3">
        <f t="shared" si="24"/>
        <v>63312.76</v>
      </c>
      <c r="R215" s="3">
        <f t="shared" si="25"/>
        <v>55140.4</v>
      </c>
      <c r="S215" s="3">
        <f t="shared" si="26"/>
        <v>8172.3600000000006</v>
      </c>
      <c r="T215">
        <f t="shared" si="27"/>
        <v>1</v>
      </c>
    </row>
    <row r="216" spans="1:20" x14ac:dyDescent="0.25">
      <c r="A216" t="s">
        <v>1019</v>
      </c>
      <c r="B216" t="s">
        <v>801</v>
      </c>
      <c r="C216" s="1">
        <v>45227</v>
      </c>
      <c r="D216" s="1">
        <f>IF(E216="",C216+VLOOKUP(B216,Lembar2!$B$19:$C$24,2,FALSE),'Procurement Dataset'!E216)</f>
        <v>45239</v>
      </c>
      <c r="F216" t="s">
        <v>791</v>
      </c>
      <c r="G216" t="s">
        <v>796</v>
      </c>
      <c r="H216" s="5">
        <v>1159</v>
      </c>
      <c r="I216" s="3">
        <v>59.24</v>
      </c>
      <c r="J216" s="3">
        <v>58.08</v>
      </c>
      <c r="K216" s="5">
        <f t="shared" si="22"/>
        <v>0</v>
      </c>
      <c r="M216" t="s">
        <v>793</v>
      </c>
      <c r="N216" t="str">
        <f t="shared" si="21"/>
        <v/>
      </c>
      <c r="O216" t="str">
        <f t="shared" si="23"/>
        <v>Valid</v>
      </c>
      <c r="P216" s="1" t="str">
        <f>IF(N216&gt;=(VLOOKUP(B216,Lembar2!$B$19:$C$24,2,FALSE)+7),"Delayed","Ontime")</f>
        <v>Delayed</v>
      </c>
      <c r="Q216" s="3">
        <f t="shared" si="24"/>
        <v>68659.16</v>
      </c>
      <c r="R216" s="3">
        <f t="shared" si="25"/>
        <v>67314.720000000001</v>
      </c>
      <c r="S216" s="3">
        <f t="shared" si="26"/>
        <v>1344.4400000000023</v>
      </c>
      <c r="T216">
        <f t="shared" si="27"/>
        <v>0</v>
      </c>
    </row>
    <row r="217" spans="1:20" x14ac:dyDescent="0.25">
      <c r="A217" t="s">
        <v>1020</v>
      </c>
      <c r="B217" t="s">
        <v>790</v>
      </c>
      <c r="C217" s="1">
        <v>44944</v>
      </c>
      <c r="D217" s="1">
        <f>IF(E217="",C217+VLOOKUP(B217,Lembar2!$B$19:$C$24,2,FALSE),'Procurement Dataset'!E217)</f>
        <v>44957</v>
      </c>
      <c r="E217" s="1">
        <v>44957</v>
      </c>
      <c r="F217" t="s">
        <v>791</v>
      </c>
      <c r="G217" t="s">
        <v>796</v>
      </c>
      <c r="H217" s="5">
        <v>1869</v>
      </c>
      <c r="I217" s="3">
        <v>69.58</v>
      </c>
      <c r="J217" s="3">
        <v>67.5</v>
      </c>
      <c r="K217" s="5">
        <f t="shared" si="22"/>
        <v>31</v>
      </c>
      <c r="L217">
        <v>31</v>
      </c>
      <c r="M217" t="s">
        <v>793</v>
      </c>
      <c r="N217">
        <f t="shared" si="21"/>
        <v>13</v>
      </c>
      <c r="O217" t="str">
        <f t="shared" si="23"/>
        <v>Valid</v>
      </c>
      <c r="P217" s="1" t="str">
        <f>IF(N217&gt;=(VLOOKUP(B217,Lembar2!$B$19:$C$24,2,FALSE)+7),"Delayed","Ontime")</f>
        <v>Ontime</v>
      </c>
      <c r="Q217" s="3">
        <f t="shared" si="24"/>
        <v>130045.02</v>
      </c>
      <c r="R217" s="3">
        <f t="shared" si="25"/>
        <v>126157.5</v>
      </c>
      <c r="S217" s="3">
        <f t="shared" si="26"/>
        <v>3887.5200000000041</v>
      </c>
      <c r="T217">
        <f t="shared" si="27"/>
        <v>1</v>
      </c>
    </row>
    <row r="218" spans="1:20" x14ac:dyDescent="0.25">
      <c r="A218" t="s">
        <v>1021</v>
      </c>
      <c r="B218" t="s">
        <v>795</v>
      </c>
      <c r="C218" s="1">
        <v>45010</v>
      </c>
      <c r="D218" s="1">
        <f>IF(E218="",C218+VLOOKUP(B218,Lembar2!$B$19:$C$24,2,FALSE),'Procurement Dataset'!E218)</f>
        <v>45029</v>
      </c>
      <c r="E218" s="1">
        <v>45029</v>
      </c>
      <c r="F218" t="s">
        <v>802</v>
      </c>
      <c r="G218" t="s">
        <v>796</v>
      </c>
      <c r="H218" s="5">
        <v>627</v>
      </c>
      <c r="I218" s="3">
        <v>46.23</v>
      </c>
      <c r="J218" s="3">
        <v>42.87</v>
      </c>
      <c r="K218" s="5">
        <f t="shared" si="22"/>
        <v>0</v>
      </c>
      <c r="M218" t="s">
        <v>793</v>
      </c>
      <c r="N218">
        <f t="shared" si="21"/>
        <v>19</v>
      </c>
      <c r="O218" t="str">
        <f t="shared" si="23"/>
        <v>Valid</v>
      </c>
      <c r="P218" s="1" t="str">
        <f>IF(N218&gt;=(VLOOKUP(B218,Lembar2!$B$19:$C$24,2,FALSE)+7),"Delayed","Ontime")</f>
        <v>Delayed</v>
      </c>
      <c r="Q218" s="3">
        <f t="shared" si="24"/>
        <v>28986.21</v>
      </c>
      <c r="R218" s="3">
        <f t="shared" si="25"/>
        <v>26879.489999999998</v>
      </c>
      <c r="S218" s="3">
        <f t="shared" si="26"/>
        <v>2106.7200000000012</v>
      </c>
      <c r="T218">
        <f t="shared" si="27"/>
        <v>0</v>
      </c>
    </row>
    <row r="219" spans="1:20" x14ac:dyDescent="0.25">
      <c r="A219" t="s">
        <v>1022</v>
      </c>
      <c r="B219" t="s">
        <v>801</v>
      </c>
      <c r="C219" s="1">
        <v>45091</v>
      </c>
      <c r="D219" s="1">
        <f>IF(E219="",C219+VLOOKUP(B219,Lembar2!$B$19:$C$24,2,FALSE),'Procurement Dataset'!E219)</f>
        <v>45093</v>
      </c>
      <c r="E219" s="1">
        <v>45093</v>
      </c>
      <c r="F219" t="s">
        <v>804</v>
      </c>
      <c r="G219" t="s">
        <v>813</v>
      </c>
      <c r="H219" s="5">
        <v>731</v>
      </c>
      <c r="I219" s="3">
        <v>56.02</v>
      </c>
      <c r="J219" s="3">
        <v>54.78</v>
      </c>
      <c r="K219" s="5">
        <f t="shared" si="22"/>
        <v>70</v>
      </c>
      <c r="L219">
        <v>70</v>
      </c>
      <c r="M219" t="s">
        <v>805</v>
      </c>
      <c r="N219">
        <f t="shared" si="21"/>
        <v>2</v>
      </c>
      <c r="O219" t="str">
        <f t="shared" si="23"/>
        <v>Valid</v>
      </c>
      <c r="P219" s="1" t="str">
        <f>IF(N219&gt;=(VLOOKUP(B219,Lembar2!$B$19:$C$24,2,FALSE)+7),"Delayed","Ontime")</f>
        <v>Ontime</v>
      </c>
      <c r="Q219" s="3">
        <f t="shared" si="24"/>
        <v>40950.620000000003</v>
      </c>
      <c r="R219" s="3">
        <f t="shared" si="25"/>
        <v>40044.18</v>
      </c>
      <c r="S219" s="3">
        <f t="shared" si="26"/>
        <v>906.44000000000233</v>
      </c>
      <c r="T219">
        <f t="shared" si="27"/>
        <v>1</v>
      </c>
    </row>
    <row r="220" spans="1:20" x14ac:dyDescent="0.25">
      <c r="A220" t="s">
        <v>1023</v>
      </c>
      <c r="B220" t="s">
        <v>807</v>
      </c>
      <c r="C220" s="1">
        <v>45024</v>
      </c>
      <c r="D220" s="1">
        <f>IF(E220="",C220+VLOOKUP(B220,Lembar2!$B$19:$C$24,2,FALSE),'Procurement Dataset'!E220)</f>
        <v>45035</v>
      </c>
      <c r="F220" t="s">
        <v>791</v>
      </c>
      <c r="G220" t="s">
        <v>792</v>
      </c>
      <c r="H220" s="5">
        <v>606</v>
      </c>
      <c r="I220" s="3">
        <v>83.07</v>
      </c>
      <c r="J220" s="3">
        <v>79.22</v>
      </c>
      <c r="K220" s="5">
        <f t="shared" si="22"/>
        <v>16</v>
      </c>
      <c r="L220">
        <v>16</v>
      </c>
      <c r="M220" t="s">
        <v>793</v>
      </c>
      <c r="N220" t="str">
        <f t="shared" si="21"/>
        <v/>
      </c>
      <c r="O220" t="str">
        <f t="shared" si="23"/>
        <v>Valid</v>
      </c>
      <c r="P220" s="1" t="str">
        <f>IF(N220&gt;=(VLOOKUP(B220,Lembar2!$B$19:$C$24,2,FALSE)+7),"Delayed","Ontime")</f>
        <v>Delayed</v>
      </c>
      <c r="Q220" s="3">
        <f t="shared" si="24"/>
        <v>50340.42</v>
      </c>
      <c r="R220" s="3">
        <f t="shared" si="25"/>
        <v>48007.32</v>
      </c>
      <c r="S220" s="3">
        <f t="shared" si="26"/>
        <v>2333.0999999999985</v>
      </c>
      <c r="T220">
        <f t="shared" si="27"/>
        <v>0</v>
      </c>
    </row>
    <row r="221" spans="1:20" x14ac:dyDescent="0.25">
      <c r="A221" t="s">
        <v>1024</v>
      </c>
      <c r="B221" t="s">
        <v>801</v>
      </c>
      <c r="C221" s="1">
        <v>44685</v>
      </c>
      <c r="D221" s="1">
        <f>IF(E221="",C221+VLOOKUP(B221,Lembar2!$B$19:$C$24,2,FALSE),'Procurement Dataset'!E221)</f>
        <v>44695</v>
      </c>
      <c r="E221" s="1">
        <v>44695</v>
      </c>
      <c r="F221" t="s">
        <v>791</v>
      </c>
      <c r="G221" t="s">
        <v>796</v>
      </c>
      <c r="H221" s="5">
        <v>1647</v>
      </c>
      <c r="I221" s="3">
        <v>13.57</v>
      </c>
      <c r="J221" s="3">
        <v>12.33</v>
      </c>
      <c r="K221" s="5">
        <f t="shared" si="22"/>
        <v>157</v>
      </c>
      <c r="L221">
        <v>157</v>
      </c>
      <c r="M221" t="s">
        <v>793</v>
      </c>
      <c r="N221">
        <f t="shared" si="21"/>
        <v>10</v>
      </c>
      <c r="O221" t="str">
        <f t="shared" si="23"/>
        <v>Valid</v>
      </c>
      <c r="P221" s="1" t="str">
        <f>IF(N221&gt;=(VLOOKUP(B221,Lembar2!$B$19:$C$24,2,FALSE)+7),"Delayed","Ontime")</f>
        <v>Ontime</v>
      </c>
      <c r="Q221" s="3">
        <f t="shared" si="24"/>
        <v>22349.79</v>
      </c>
      <c r="R221" s="3">
        <f t="shared" si="25"/>
        <v>20307.509999999998</v>
      </c>
      <c r="S221" s="3">
        <f t="shared" si="26"/>
        <v>2042.2800000000025</v>
      </c>
      <c r="T221">
        <f t="shared" si="27"/>
        <v>1</v>
      </c>
    </row>
    <row r="222" spans="1:20" x14ac:dyDescent="0.25">
      <c r="A222" t="s">
        <v>1025</v>
      </c>
      <c r="B222" t="s">
        <v>795</v>
      </c>
      <c r="C222" s="1">
        <v>44815</v>
      </c>
      <c r="D222" s="1">
        <f>IF(E222="",C222+VLOOKUP(B222,Lembar2!$B$19:$C$24,2,FALSE),'Procurement Dataset'!E222)</f>
        <v>44823</v>
      </c>
      <c r="E222" s="1">
        <v>44823</v>
      </c>
      <c r="F222" t="s">
        <v>799</v>
      </c>
      <c r="G222" t="s">
        <v>796</v>
      </c>
      <c r="H222" s="5">
        <v>1062</v>
      </c>
      <c r="I222" s="3">
        <v>34.03</v>
      </c>
      <c r="J222" s="3">
        <v>30.46</v>
      </c>
      <c r="K222" s="5">
        <f t="shared" si="22"/>
        <v>0</v>
      </c>
      <c r="M222" t="s">
        <v>793</v>
      </c>
      <c r="N222">
        <f t="shared" si="21"/>
        <v>8</v>
      </c>
      <c r="O222" t="str">
        <f t="shared" si="23"/>
        <v>Valid</v>
      </c>
      <c r="P222" s="1" t="str">
        <f>IF(N222&gt;=(VLOOKUP(B222,Lembar2!$B$19:$C$24,2,FALSE)+7),"Delayed","Ontime")</f>
        <v>Ontime</v>
      </c>
      <c r="Q222" s="3">
        <f t="shared" si="24"/>
        <v>36139.86</v>
      </c>
      <c r="R222" s="3">
        <f t="shared" si="25"/>
        <v>32348.52</v>
      </c>
      <c r="S222" s="3">
        <f t="shared" si="26"/>
        <v>3791.34</v>
      </c>
      <c r="T222">
        <f t="shared" si="27"/>
        <v>1</v>
      </c>
    </row>
    <row r="223" spans="1:20" x14ac:dyDescent="0.25">
      <c r="A223" t="s">
        <v>1026</v>
      </c>
      <c r="B223" t="s">
        <v>801</v>
      </c>
      <c r="C223" s="1">
        <v>44792</v>
      </c>
      <c r="D223" s="1">
        <f>IF(E223="",C223+VLOOKUP(B223,Lembar2!$B$19:$C$24,2,FALSE),'Procurement Dataset'!E223)</f>
        <v>44804</v>
      </c>
      <c r="E223" s="1">
        <v>44804</v>
      </c>
      <c r="F223" t="s">
        <v>791</v>
      </c>
      <c r="G223" t="s">
        <v>796</v>
      </c>
      <c r="H223" s="5">
        <v>695</v>
      </c>
      <c r="I223" s="3">
        <v>76.8</v>
      </c>
      <c r="J223" s="3">
        <v>69.760000000000005</v>
      </c>
      <c r="K223" s="5">
        <f t="shared" si="22"/>
        <v>0</v>
      </c>
      <c r="M223" t="s">
        <v>805</v>
      </c>
      <c r="N223">
        <f t="shared" si="21"/>
        <v>12</v>
      </c>
      <c r="O223" t="str">
        <f t="shared" si="23"/>
        <v>Valid</v>
      </c>
      <c r="P223" s="1" t="str">
        <f>IF(N223&gt;=(VLOOKUP(B223,Lembar2!$B$19:$C$24,2,FALSE)+7),"Delayed","Ontime")</f>
        <v>Ontime</v>
      </c>
      <c r="Q223" s="3">
        <f t="shared" si="24"/>
        <v>53376</v>
      </c>
      <c r="R223" s="3">
        <f t="shared" si="25"/>
        <v>48483.200000000004</v>
      </c>
      <c r="S223" s="3">
        <f t="shared" si="26"/>
        <v>4892.7999999999956</v>
      </c>
      <c r="T223">
        <f t="shared" si="27"/>
        <v>1</v>
      </c>
    </row>
    <row r="224" spans="1:20" x14ac:dyDescent="0.25">
      <c r="A224" t="s">
        <v>1027</v>
      </c>
      <c r="B224" t="s">
        <v>807</v>
      </c>
      <c r="C224" s="1">
        <v>44627</v>
      </c>
      <c r="D224" s="1">
        <f>IF(E224="",C224+VLOOKUP(B224,Lembar2!$B$19:$C$24,2,FALSE),'Procurement Dataset'!E224)</f>
        <v>44634</v>
      </c>
      <c r="E224" s="1">
        <v>44634</v>
      </c>
      <c r="F224" t="s">
        <v>799</v>
      </c>
      <c r="G224" t="s">
        <v>796</v>
      </c>
      <c r="H224" s="5">
        <v>845</v>
      </c>
      <c r="I224" s="3">
        <v>91.47</v>
      </c>
      <c r="J224" s="3">
        <v>86.97</v>
      </c>
      <c r="K224" s="5">
        <f t="shared" si="22"/>
        <v>0</v>
      </c>
      <c r="M224" t="s">
        <v>793</v>
      </c>
      <c r="N224">
        <f t="shared" si="21"/>
        <v>7</v>
      </c>
      <c r="O224" t="str">
        <f t="shared" si="23"/>
        <v>Valid</v>
      </c>
      <c r="P224" s="1" t="str">
        <f>IF(N224&gt;=(VLOOKUP(B224,Lembar2!$B$19:$C$24,2,FALSE)+7),"Delayed","Ontime")</f>
        <v>Ontime</v>
      </c>
      <c r="Q224" s="3">
        <f t="shared" si="24"/>
        <v>77292.149999999994</v>
      </c>
      <c r="R224" s="3">
        <f t="shared" si="25"/>
        <v>73489.649999999994</v>
      </c>
      <c r="S224" s="3">
        <f t="shared" si="26"/>
        <v>3802.5</v>
      </c>
      <c r="T224">
        <f t="shared" si="27"/>
        <v>1</v>
      </c>
    </row>
    <row r="225" spans="1:20" x14ac:dyDescent="0.25">
      <c r="A225" t="s">
        <v>1028</v>
      </c>
      <c r="B225" t="s">
        <v>798</v>
      </c>
      <c r="C225" s="1">
        <v>44908</v>
      </c>
      <c r="D225" s="1">
        <f>IF(E225="",C225+VLOOKUP(B225,Lembar2!$B$19:$C$24,2,FALSE),'Procurement Dataset'!E225)</f>
        <v>44913</v>
      </c>
      <c r="E225" s="1">
        <v>44913</v>
      </c>
      <c r="F225" t="s">
        <v>799</v>
      </c>
      <c r="G225" t="s">
        <v>796</v>
      </c>
      <c r="H225" s="5">
        <v>1101</v>
      </c>
      <c r="I225" s="3">
        <v>59.13</v>
      </c>
      <c r="J225" s="3">
        <v>52.51</v>
      </c>
      <c r="K225" s="5">
        <f t="shared" si="22"/>
        <v>54</v>
      </c>
      <c r="L225">
        <v>54</v>
      </c>
      <c r="M225" t="s">
        <v>793</v>
      </c>
      <c r="N225">
        <f t="shared" si="21"/>
        <v>5</v>
      </c>
      <c r="O225" t="str">
        <f t="shared" si="23"/>
        <v>Valid</v>
      </c>
      <c r="P225" s="1" t="str">
        <f>IF(N225&gt;=(VLOOKUP(B225,Lembar2!$B$19:$C$24,2,FALSE)+7),"Delayed","Ontime")</f>
        <v>Ontime</v>
      </c>
      <c r="Q225" s="3">
        <f t="shared" si="24"/>
        <v>65102.130000000005</v>
      </c>
      <c r="R225" s="3">
        <f t="shared" si="25"/>
        <v>57813.509999999995</v>
      </c>
      <c r="S225" s="3">
        <f t="shared" si="26"/>
        <v>7288.6200000000099</v>
      </c>
      <c r="T225">
        <f t="shared" si="27"/>
        <v>1</v>
      </c>
    </row>
    <row r="226" spans="1:20" x14ac:dyDescent="0.25">
      <c r="A226" t="s">
        <v>1029</v>
      </c>
      <c r="B226" t="s">
        <v>798</v>
      </c>
      <c r="C226" s="1">
        <v>44583</v>
      </c>
      <c r="D226" s="1">
        <f>IF(E226="",C226+VLOOKUP(B226,Lembar2!$B$19:$C$24,2,FALSE),'Procurement Dataset'!E226)</f>
        <v>44585</v>
      </c>
      <c r="E226" s="1">
        <v>44585</v>
      </c>
      <c r="F226" t="s">
        <v>804</v>
      </c>
      <c r="G226" t="s">
        <v>796</v>
      </c>
      <c r="H226" s="5">
        <v>1693</v>
      </c>
      <c r="I226" s="3">
        <v>57.89</v>
      </c>
      <c r="J226" s="3">
        <v>49.84</v>
      </c>
      <c r="K226" s="5">
        <f t="shared" si="22"/>
        <v>88</v>
      </c>
      <c r="L226">
        <v>88</v>
      </c>
      <c r="M226" t="s">
        <v>793</v>
      </c>
      <c r="N226">
        <f t="shared" si="21"/>
        <v>2</v>
      </c>
      <c r="O226" t="str">
        <f t="shared" si="23"/>
        <v>Valid</v>
      </c>
      <c r="P226" s="1" t="str">
        <f>IF(N226&gt;=(VLOOKUP(B226,Lembar2!$B$19:$C$24,2,FALSE)+7),"Delayed","Ontime")</f>
        <v>Ontime</v>
      </c>
      <c r="Q226" s="3">
        <f t="shared" si="24"/>
        <v>98007.77</v>
      </c>
      <c r="R226" s="3">
        <f t="shared" si="25"/>
        <v>84379.12000000001</v>
      </c>
      <c r="S226" s="3">
        <f t="shared" si="26"/>
        <v>13628.649999999994</v>
      </c>
      <c r="T226">
        <f t="shared" si="27"/>
        <v>1</v>
      </c>
    </row>
    <row r="227" spans="1:20" x14ac:dyDescent="0.25">
      <c r="A227" t="s">
        <v>1030</v>
      </c>
      <c r="B227" t="s">
        <v>795</v>
      </c>
      <c r="C227" s="1">
        <v>45164</v>
      </c>
      <c r="D227" s="1">
        <f>IF(E227="",C227+VLOOKUP(B227,Lembar2!$B$19:$C$24,2,FALSE),'Procurement Dataset'!E227)</f>
        <v>45179</v>
      </c>
      <c r="E227" s="1">
        <v>45179</v>
      </c>
      <c r="F227" t="s">
        <v>791</v>
      </c>
      <c r="G227" t="s">
        <v>792</v>
      </c>
      <c r="H227" s="5">
        <v>1629</v>
      </c>
      <c r="I227" s="3">
        <v>21.51</v>
      </c>
      <c r="J227" s="3">
        <v>19.41</v>
      </c>
      <c r="K227" s="5">
        <f t="shared" si="22"/>
        <v>250</v>
      </c>
      <c r="L227">
        <v>250</v>
      </c>
      <c r="M227" t="s">
        <v>805</v>
      </c>
      <c r="N227">
        <f t="shared" si="21"/>
        <v>15</v>
      </c>
      <c r="O227" t="str">
        <f t="shared" si="23"/>
        <v>Valid</v>
      </c>
      <c r="P227" s="1" t="str">
        <f>IF(N227&gt;=(VLOOKUP(B227,Lembar2!$B$19:$C$24,2,FALSE)+7),"Delayed","Ontime")</f>
        <v>Ontime</v>
      </c>
      <c r="Q227" s="3">
        <f t="shared" si="24"/>
        <v>35039.79</v>
      </c>
      <c r="R227" s="3">
        <f t="shared" si="25"/>
        <v>31618.89</v>
      </c>
      <c r="S227" s="3">
        <f t="shared" si="26"/>
        <v>3420.9000000000015</v>
      </c>
      <c r="T227">
        <f t="shared" si="27"/>
        <v>1</v>
      </c>
    </row>
    <row r="228" spans="1:20" x14ac:dyDescent="0.25">
      <c r="A228" t="s">
        <v>1031</v>
      </c>
      <c r="B228" t="s">
        <v>795</v>
      </c>
      <c r="C228" s="1">
        <v>45129</v>
      </c>
      <c r="D228" s="1">
        <f>IF(E228="",C228+VLOOKUP(B228,Lembar2!$B$19:$C$24,2,FALSE),'Procurement Dataset'!E228)</f>
        <v>45141</v>
      </c>
      <c r="E228" s="1">
        <v>45141</v>
      </c>
      <c r="F228" t="s">
        <v>804</v>
      </c>
      <c r="G228" t="s">
        <v>796</v>
      </c>
      <c r="H228" s="5">
        <v>1413</v>
      </c>
      <c r="I228" s="3">
        <v>54.79</v>
      </c>
      <c r="J228" s="3">
        <v>50.42</v>
      </c>
      <c r="K228" s="5">
        <f t="shared" si="22"/>
        <v>0</v>
      </c>
      <c r="M228" t="s">
        <v>793</v>
      </c>
      <c r="N228">
        <f t="shared" si="21"/>
        <v>12</v>
      </c>
      <c r="O228" t="str">
        <f t="shared" si="23"/>
        <v>Valid</v>
      </c>
      <c r="P228" s="1" t="str">
        <f>IF(N228&gt;=(VLOOKUP(B228,Lembar2!$B$19:$C$24,2,FALSE)+7),"Delayed","Ontime")</f>
        <v>Ontime</v>
      </c>
      <c r="Q228" s="3">
        <f t="shared" si="24"/>
        <v>77418.27</v>
      </c>
      <c r="R228" s="3">
        <f t="shared" si="25"/>
        <v>71243.460000000006</v>
      </c>
      <c r="S228" s="3">
        <f t="shared" si="26"/>
        <v>6174.8099999999977</v>
      </c>
      <c r="T228">
        <f t="shared" si="27"/>
        <v>1</v>
      </c>
    </row>
    <row r="229" spans="1:20" x14ac:dyDescent="0.25">
      <c r="A229" t="s">
        <v>1032</v>
      </c>
      <c r="B229" t="s">
        <v>807</v>
      </c>
      <c r="C229" s="1">
        <v>44797</v>
      </c>
      <c r="D229" s="1">
        <f>IF(E229="",C229+VLOOKUP(B229,Lembar2!$B$19:$C$24,2,FALSE),'Procurement Dataset'!E229)</f>
        <v>44800</v>
      </c>
      <c r="E229" s="1">
        <v>44800</v>
      </c>
      <c r="F229" t="s">
        <v>802</v>
      </c>
      <c r="G229" t="s">
        <v>796</v>
      </c>
      <c r="H229" s="5">
        <v>1871</v>
      </c>
      <c r="I229" s="3">
        <v>59.96</v>
      </c>
      <c r="J229" s="3">
        <v>58.54</v>
      </c>
      <c r="K229" s="5">
        <f t="shared" si="22"/>
        <v>47</v>
      </c>
      <c r="L229">
        <v>47</v>
      </c>
      <c r="M229" t="s">
        <v>793</v>
      </c>
      <c r="N229">
        <f t="shared" si="21"/>
        <v>3</v>
      </c>
      <c r="O229" t="str">
        <f t="shared" si="23"/>
        <v>Valid</v>
      </c>
      <c r="P229" s="1" t="str">
        <f>IF(N229&gt;=(VLOOKUP(B229,Lembar2!$B$19:$C$24,2,FALSE)+7),"Delayed","Ontime")</f>
        <v>Ontime</v>
      </c>
      <c r="Q229" s="3">
        <f t="shared" si="24"/>
        <v>112185.16</v>
      </c>
      <c r="R229" s="3">
        <f t="shared" si="25"/>
        <v>109528.34</v>
      </c>
      <c r="S229" s="3">
        <f t="shared" si="26"/>
        <v>2656.820000000007</v>
      </c>
      <c r="T229">
        <f t="shared" si="27"/>
        <v>1</v>
      </c>
    </row>
    <row r="230" spans="1:20" x14ac:dyDescent="0.25">
      <c r="A230" t="s">
        <v>1033</v>
      </c>
      <c r="B230" t="s">
        <v>798</v>
      </c>
      <c r="C230" s="1">
        <v>45164</v>
      </c>
      <c r="D230" s="1">
        <f>IF(E230="",C230+VLOOKUP(B230,Lembar2!$B$19:$C$24,2,FALSE),'Procurement Dataset'!E230)</f>
        <v>45174</v>
      </c>
      <c r="F230" t="s">
        <v>804</v>
      </c>
      <c r="G230" t="s">
        <v>796</v>
      </c>
      <c r="H230" s="5">
        <v>1404</v>
      </c>
      <c r="I230" s="3">
        <v>34.85</v>
      </c>
      <c r="J230" s="3">
        <v>30.5</v>
      </c>
      <c r="K230" s="5">
        <f t="shared" si="22"/>
        <v>78</v>
      </c>
      <c r="L230">
        <v>78</v>
      </c>
      <c r="M230" t="s">
        <v>793</v>
      </c>
      <c r="N230" t="str">
        <f t="shared" si="21"/>
        <v/>
      </c>
      <c r="O230" t="str">
        <f t="shared" si="23"/>
        <v>Valid</v>
      </c>
      <c r="P230" s="1" t="str">
        <f>IF(N230&gt;=(VLOOKUP(B230,Lembar2!$B$19:$C$24,2,FALSE)+7),"Delayed","Ontime")</f>
        <v>Delayed</v>
      </c>
      <c r="Q230" s="3">
        <f t="shared" si="24"/>
        <v>48929.4</v>
      </c>
      <c r="R230" s="3">
        <f t="shared" si="25"/>
        <v>42822</v>
      </c>
      <c r="S230" s="3">
        <f t="shared" si="26"/>
        <v>6107.4000000000015</v>
      </c>
      <c r="T230">
        <f t="shared" si="27"/>
        <v>0</v>
      </c>
    </row>
    <row r="231" spans="1:20" x14ac:dyDescent="0.25">
      <c r="A231" t="s">
        <v>1034</v>
      </c>
      <c r="B231" t="s">
        <v>798</v>
      </c>
      <c r="C231" s="1">
        <v>44787</v>
      </c>
      <c r="D231" s="1">
        <f>IF(E231="",C231+VLOOKUP(B231,Lembar2!$B$19:$C$24,2,FALSE),'Procurement Dataset'!E231)</f>
        <v>44801</v>
      </c>
      <c r="E231" s="1">
        <v>44801</v>
      </c>
      <c r="F231" t="s">
        <v>817</v>
      </c>
      <c r="G231" t="s">
        <v>796</v>
      </c>
      <c r="H231" s="5">
        <v>1713</v>
      </c>
      <c r="I231" s="3">
        <v>35.43</v>
      </c>
      <c r="J231" s="3">
        <v>34.11</v>
      </c>
      <c r="K231" s="5">
        <f t="shared" si="22"/>
        <v>74</v>
      </c>
      <c r="L231">
        <v>74</v>
      </c>
      <c r="M231" t="s">
        <v>793</v>
      </c>
      <c r="N231">
        <f t="shared" si="21"/>
        <v>14</v>
      </c>
      <c r="O231" t="str">
        <f t="shared" si="23"/>
        <v>Valid</v>
      </c>
      <c r="P231" s="1" t="str">
        <f>IF(N231&gt;=(VLOOKUP(B231,Lembar2!$B$19:$C$24,2,FALSE)+7),"Delayed","Ontime")</f>
        <v>Ontime</v>
      </c>
      <c r="Q231" s="3">
        <f t="shared" si="24"/>
        <v>60691.59</v>
      </c>
      <c r="R231" s="3">
        <f t="shared" si="25"/>
        <v>58430.43</v>
      </c>
      <c r="S231" s="3">
        <f t="shared" si="26"/>
        <v>2261.1599999999962</v>
      </c>
      <c r="T231">
        <f t="shared" si="27"/>
        <v>1</v>
      </c>
    </row>
    <row r="232" spans="1:20" x14ac:dyDescent="0.25">
      <c r="A232" t="s">
        <v>1035</v>
      </c>
      <c r="B232" t="s">
        <v>798</v>
      </c>
      <c r="C232" s="1">
        <v>44569</v>
      </c>
      <c r="D232" s="1">
        <f>IF(E232="",C232+VLOOKUP(B232,Lembar2!$B$19:$C$24,2,FALSE),'Procurement Dataset'!E232)</f>
        <v>44574</v>
      </c>
      <c r="E232" s="1">
        <v>44574</v>
      </c>
      <c r="F232" t="s">
        <v>817</v>
      </c>
      <c r="G232" t="s">
        <v>796</v>
      </c>
      <c r="H232" s="5">
        <v>1579</v>
      </c>
      <c r="I232" s="3">
        <v>43.96</v>
      </c>
      <c r="J232" s="3">
        <v>43.41</v>
      </c>
      <c r="K232" s="5">
        <f t="shared" si="22"/>
        <v>74</v>
      </c>
      <c r="L232">
        <v>74</v>
      </c>
      <c r="M232" t="s">
        <v>793</v>
      </c>
      <c r="N232">
        <f t="shared" si="21"/>
        <v>5</v>
      </c>
      <c r="O232" t="str">
        <f t="shared" si="23"/>
        <v>Valid</v>
      </c>
      <c r="P232" s="1" t="str">
        <f>IF(N232&gt;=(VLOOKUP(B232,Lembar2!$B$19:$C$24,2,FALSE)+7),"Delayed","Ontime")</f>
        <v>Ontime</v>
      </c>
      <c r="Q232" s="3">
        <f t="shared" si="24"/>
        <v>69412.84</v>
      </c>
      <c r="R232" s="3">
        <f t="shared" si="25"/>
        <v>68544.39</v>
      </c>
      <c r="S232" s="3">
        <f t="shared" si="26"/>
        <v>868.44999999999709</v>
      </c>
      <c r="T232">
        <f t="shared" si="27"/>
        <v>1</v>
      </c>
    </row>
    <row r="233" spans="1:20" x14ac:dyDescent="0.25">
      <c r="A233" t="s">
        <v>1036</v>
      </c>
      <c r="B233" t="s">
        <v>798</v>
      </c>
      <c r="C233" s="1">
        <v>44634</v>
      </c>
      <c r="D233" s="1">
        <f>IF(E233="",C233+VLOOKUP(B233,Lembar2!$B$19:$C$24,2,FALSE),'Procurement Dataset'!E233)</f>
        <v>44646</v>
      </c>
      <c r="E233" s="1">
        <v>44646</v>
      </c>
      <c r="F233" t="s">
        <v>817</v>
      </c>
      <c r="G233" t="s">
        <v>796</v>
      </c>
      <c r="H233" s="5">
        <v>1421</v>
      </c>
      <c r="I233" s="3">
        <v>11.92</v>
      </c>
      <c r="J233" s="3">
        <v>11.72</v>
      </c>
      <c r="K233" s="5">
        <f t="shared" si="22"/>
        <v>76</v>
      </c>
      <c r="L233">
        <v>76</v>
      </c>
      <c r="M233" t="s">
        <v>793</v>
      </c>
      <c r="N233">
        <f t="shared" si="21"/>
        <v>12</v>
      </c>
      <c r="O233" t="str">
        <f t="shared" si="23"/>
        <v>Valid</v>
      </c>
      <c r="P233" s="1" t="str">
        <f>IF(N233&gt;=(VLOOKUP(B233,Lembar2!$B$19:$C$24,2,FALSE)+7),"Delayed","Ontime")</f>
        <v>Ontime</v>
      </c>
      <c r="Q233" s="3">
        <f t="shared" si="24"/>
        <v>16938.32</v>
      </c>
      <c r="R233" s="3">
        <f t="shared" si="25"/>
        <v>16654.120000000003</v>
      </c>
      <c r="S233" s="3">
        <f t="shared" si="26"/>
        <v>284.19999999999709</v>
      </c>
      <c r="T233">
        <f t="shared" si="27"/>
        <v>1</v>
      </c>
    </row>
    <row r="234" spans="1:20" x14ac:dyDescent="0.25">
      <c r="A234" t="s">
        <v>1037</v>
      </c>
      <c r="B234" t="s">
        <v>807</v>
      </c>
      <c r="C234" s="1">
        <v>45286</v>
      </c>
      <c r="D234" s="1">
        <f>IF(E234="",C234+VLOOKUP(B234,Lembar2!$B$19:$C$24,2,FALSE),'Procurement Dataset'!E234)</f>
        <v>45295</v>
      </c>
      <c r="E234" s="1">
        <v>45295</v>
      </c>
      <c r="F234" t="s">
        <v>799</v>
      </c>
      <c r="G234" t="s">
        <v>796</v>
      </c>
      <c r="H234" s="5">
        <v>1546</v>
      </c>
      <c r="I234" s="3">
        <v>43.47</v>
      </c>
      <c r="J234" s="3">
        <v>37.369999999999997</v>
      </c>
      <c r="K234" s="5">
        <f t="shared" si="22"/>
        <v>53</v>
      </c>
      <c r="L234">
        <v>53</v>
      </c>
      <c r="M234" t="s">
        <v>793</v>
      </c>
      <c r="N234">
        <f t="shared" si="21"/>
        <v>9</v>
      </c>
      <c r="O234" t="str">
        <f t="shared" si="23"/>
        <v>Valid</v>
      </c>
      <c r="P234" s="1" t="str">
        <f>IF(N234&gt;=(VLOOKUP(B234,Lembar2!$B$19:$C$24,2,FALSE)+7),"Delayed","Ontime")</f>
        <v>Ontime</v>
      </c>
      <c r="Q234" s="3">
        <f t="shared" si="24"/>
        <v>67204.62</v>
      </c>
      <c r="R234" s="3">
        <f t="shared" si="25"/>
        <v>57774.02</v>
      </c>
      <c r="S234" s="3">
        <f t="shared" si="26"/>
        <v>9430.5999999999985</v>
      </c>
      <c r="T234">
        <f t="shared" si="27"/>
        <v>1</v>
      </c>
    </row>
    <row r="235" spans="1:20" x14ac:dyDescent="0.25">
      <c r="A235" t="s">
        <v>1038</v>
      </c>
      <c r="B235" t="s">
        <v>795</v>
      </c>
      <c r="C235" s="1">
        <v>45208</v>
      </c>
      <c r="D235" s="1">
        <f>IF(E235="",C235+VLOOKUP(B235,Lembar2!$B$19:$C$24,2,FALSE),'Procurement Dataset'!E235)</f>
        <v>45217</v>
      </c>
      <c r="E235" s="1">
        <v>45217</v>
      </c>
      <c r="F235" t="s">
        <v>817</v>
      </c>
      <c r="G235" t="s">
        <v>796</v>
      </c>
      <c r="H235" s="5">
        <v>1304</v>
      </c>
      <c r="I235" s="3">
        <v>32.08</v>
      </c>
      <c r="J235" s="3">
        <v>29.36</v>
      </c>
      <c r="K235" s="5">
        <f t="shared" si="22"/>
        <v>0</v>
      </c>
      <c r="M235" t="s">
        <v>793</v>
      </c>
      <c r="N235">
        <f t="shared" si="21"/>
        <v>9</v>
      </c>
      <c r="O235" t="str">
        <f t="shared" si="23"/>
        <v>Valid</v>
      </c>
      <c r="P235" s="1" t="str">
        <f>IF(N235&gt;=(VLOOKUP(B235,Lembar2!$B$19:$C$24,2,FALSE)+7),"Delayed","Ontime")</f>
        <v>Ontime</v>
      </c>
      <c r="Q235" s="3">
        <f t="shared" si="24"/>
        <v>41832.32</v>
      </c>
      <c r="R235" s="3">
        <f t="shared" si="25"/>
        <v>38285.440000000002</v>
      </c>
      <c r="S235" s="3">
        <f t="shared" si="26"/>
        <v>3546.8799999999974</v>
      </c>
      <c r="T235">
        <f t="shared" si="27"/>
        <v>1</v>
      </c>
    </row>
    <row r="236" spans="1:20" x14ac:dyDescent="0.25">
      <c r="A236" t="s">
        <v>1039</v>
      </c>
      <c r="B236" t="s">
        <v>795</v>
      </c>
      <c r="C236" s="1">
        <v>44622</v>
      </c>
      <c r="D236" s="1">
        <f>IF(E236="",C236+VLOOKUP(B236,Lembar2!$B$19:$C$24,2,FALSE),'Procurement Dataset'!E236)</f>
        <v>44633</v>
      </c>
      <c r="F236" t="s">
        <v>804</v>
      </c>
      <c r="G236" t="s">
        <v>796</v>
      </c>
      <c r="H236" s="5">
        <v>239</v>
      </c>
      <c r="I236" s="3">
        <v>39.869999999999997</v>
      </c>
      <c r="J236" s="3">
        <v>35.47</v>
      </c>
      <c r="K236" s="5">
        <f t="shared" si="22"/>
        <v>32</v>
      </c>
      <c r="L236">
        <v>32</v>
      </c>
      <c r="M236" t="s">
        <v>793</v>
      </c>
      <c r="N236" t="str">
        <f t="shared" si="21"/>
        <v/>
      </c>
      <c r="O236" t="str">
        <f t="shared" si="23"/>
        <v>Valid</v>
      </c>
      <c r="P236" s="1" t="str">
        <f>IF(N236&gt;=(VLOOKUP(B236,Lembar2!$B$19:$C$24,2,FALSE)+7),"Delayed","Ontime")</f>
        <v>Delayed</v>
      </c>
      <c r="Q236" s="3">
        <f t="shared" si="24"/>
        <v>9528.93</v>
      </c>
      <c r="R236" s="3">
        <f t="shared" si="25"/>
        <v>8477.33</v>
      </c>
      <c r="S236" s="3">
        <f t="shared" si="26"/>
        <v>1051.6000000000004</v>
      </c>
      <c r="T236">
        <f t="shared" si="27"/>
        <v>0</v>
      </c>
    </row>
    <row r="237" spans="1:20" x14ac:dyDescent="0.25">
      <c r="A237" t="s">
        <v>1040</v>
      </c>
      <c r="B237" t="s">
        <v>790</v>
      </c>
      <c r="C237" s="1">
        <v>44796</v>
      </c>
      <c r="D237" s="1">
        <f>IF(E237="",C237+VLOOKUP(B237,Lembar2!$B$19:$C$24,2,FALSE),'Procurement Dataset'!E237)</f>
        <v>44807</v>
      </c>
      <c r="F237" t="s">
        <v>791</v>
      </c>
      <c r="G237" t="s">
        <v>796</v>
      </c>
      <c r="H237" s="5">
        <v>1298</v>
      </c>
      <c r="I237" s="3">
        <v>21.51</v>
      </c>
      <c r="J237" s="3">
        <v>20.83</v>
      </c>
      <c r="K237" s="5">
        <f t="shared" si="22"/>
        <v>0</v>
      </c>
      <c r="M237" t="s">
        <v>793</v>
      </c>
      <c r="N237" t="str">
        <f t="shared" si="21"/>
        <v/>
      </c>
      <c r="O237" t="str">
        <f t="shared" si="23"/>
        <v>Valid</v>
      </c>
      <c r="P237" s="1" t="str">
        <f>IF(N237&gt;=(VLOOKUP(B237,Lembar2!$B$19:$C$24,2,FALSE)+7),"Delayed","Ontime")</f>
        <v>Delayed</v>
      </c>
      <c r="Q237" s="3">
        <f t="shared" si="24"/>
        <v>27919.980000000003</v>
      </c>
      <c r="R237" s="3">
        <f t="shared" si="25"/>
        <v>27037.339999999997</v>
      </c>
      <c r="S237" s="3">
        <f t="shared" si="26"/>
        <v>882.64000000000669</v>
      </c>
      <c r="T237">
        <f t="shared" si="27"/>
        <v>0</v>
      </c>
    </row>
    <row r="238" spans="1:20" x14ac:dyDescent="0.25">
      <c r="A238" t="s">
        <v>1041</v>
      </c>
      <c r="B238" t="s">
        <v>795</v>
      </c>
      <c r="C238" s="1">
        <v>44631</v>
      </c>
      <c r="D238" s="1">
        <f>IF(E238="",C238+VLOOKUP(B238,Lembar2!$B$19:$C$24,2,FALSE),'Procurement Dataset'!E238)</f>
        <v>44642</v>
      </c>
      <c r="F238" t="s">
        <v>799</v>
      </c>
      <c r="G238" t="s">
        <v>796</v>
      </c>
      <c r="H238" s="5">
        <v>1458</v>
      </c>
      <c r="I238" s="3">
        <v>91.05</v>
      </c>
      <c r="J238" s="3">
        <v>81.56</v>
      </c>
      <c r="K238" s="5">
        <f t="shared" si="22"/>
        <v>220</v>
      </c>
      <c r="L238">
        <v>220</v>
      </c>
      <c r="M238" t="s">
        <v>793</v>
      </c>
      <c r="N238" t="str">
        <f t="shared" si="21"/>
        <v/>
      </c>
      <c r="O238" t="str">
        <f t="shared" si="23"/>
        <v>Valid</v>
      </c>
      <c r="P238" s="1" t="str">
        <f>IF(N238&gt;=(VLOOKUP(B238,Lembar2!$B$19:$C$24,2,FALSE)+7),"Delayed","Ontime")</f>
        <v>Delayed</v>
      </c>
      <c r="Q238" s="3">
        <f t="shared" si="24"/>
        <v>132750.9</v>
      </c>
      <c r="R238" s="3">
        <f t="shared" si="25"/>
        <v>118914.48000000001</v>
      </c>
      <c r="S238" s="3">
        <f t="shared" si="26"/>
        <v>13836.419999999984</v>
      </c>
      <c r="T238">
        <f t="shared" si="27"/>
        <v>0</v>
      </c>
    </row>
    <row r="239" spans="1:20" x14ac:dyDescent="0.25">
      <c r="A239" t="s">
        <v>1042</v>
      </c>
      <c r="B239" t="s">
        <v>798</v>
      </c>
      <c r="C239" s="1">
        <v>44594</v>
      </c>
      <c r="D239" s="1">
        <f>IF(E239="",C239+VLOOKUP(B239,Lembar2!$B$19:$C$24,2,FALSE),'Procurement Dataset'!E239)</f>
        <v>44605</v>
      </c>
      <c r="E239" s="1">
        <v>44605</v>
      </c>
      <c r="F239" t="s">
        <v>799</v>
      </c>
      <c r="G239" t="s">
        <v>796</v>
      </c>
      <c r="H239" s="5">
        <v>1450</v>
      </c>
      <c r="I239" s="3">
        <v>63.74</v>
      </c>
      <c r="J239" s="3">
        <v>59.11</v>
      </c>
      <c r="K239" s="5">
        <f t="shared" si="22"/>
        <v>71</v>
      </c>
      <c r="L239">
        <v>71</v>
      </c>
      <c r="M239" t="s">
        <v>793</v>
      </c>
      <c r="N239">
        <f t="shared" si="21"/>
        <v>11</v>
      </c>
      <c r="O239" t="str">
        <f t="shared" si="23"/>
        <v>Valid</v>
      </c>
      <c r="P239" s="1" t="str">
        <f>IF(N239&gt;=(VLOOKUP(B239,Lembar2!$B$19:$C$24,2,FALSE)+7),"Delayed","Ontime")</f>
        <v>Ontime</v>
      </c>
      <c r="Q239" s="3">
        <f t="shared" si="24"/>
        <v>92423</v>
      </c>
      <c r="R239" s="3">
        <f t="shared" si="25"/>
        <v>85709.5</v>
      </c>
      <c r="S239" s="3">
        <f t="shared" si="26"/>
        <v>6713.5</v>
      </c>
      <c r="T239">
        <f t="shared" si="27"/>
        <v>1</v>
      </c>
    </row>
    <row r="240" spans="1:20" x14ac:dyDescent="0.25">
      <c r="A240" t="s">
        <v>1043</v>
      </c>
      <c r="B240" t="s">
        <v>801</v>
      </c>
      <c r="C240" s="1">
        <v>44900</v>
      </c>
      <c r="D240" s="1">
        <f>IF(E240="",C240+VLOOKUP(B240,Lembar2!$B$19:$C$24,2,FALSE),'Procurement Dataset'!E240)</f>
        <v>44915</v>
      </c>
      <c r="E240" s="1">
        <v>44915</v>
      </c>
      <c r="F240" t="s">
        <v>817</v>
      </c>
      <c r="G240" t="s">
        <v>796</v>
      </c>
      <c r="H240" s="5">
        <v>1356</v>
      </c>
      <c r="I240" s="3">
        <v>75.03</v>
      </c>
      <c r="J240" s="3">
        <v>63.86</v>
      </c>
      <c r="K240" s="5">
        <f t="shared" si="22"/>
        <v>131</v>
      </c>
      <c r="L240">
        <v>131</v>
      </c>
      <c r="M240" t="s">
        <v>793</v>
      </c>
      <c r="N240">
        <f t="shared" si="21"/>
        <v>15</v>
      </c>
      <c r="O240" t="str">
        <f t="shared" si="23"/>
        <v>Valid</v>
      </c>
      <c r="P240" s="1" t="str">
        <f>IF(N240&gt;=(VLOOKUP(B240,Lembar2!$B$19:$C$24,2,FALSE)+7),"Delayed","Ontime")</f>
        <v>Ontime</v>
      </c>
      <c r="Q240" s="3">
        <f t="shared" si="24"/>
        <v>101740.68000000001</v>
      </c>
      <c r="R240" s="3">
        <f t="shared" si="25"/>
        <v>86594.16</v>
      </c>
      <c r="S240" s="3">
        <f t="shared" si="26"/>
        <v>15146.520000000004</v>
      </c>
      <c r="T240">
        <f t="shared" si="27"/>
        <v>1</v>
      </c>
    </row>
    <row r="241" spans="1:20" x14ac:dyDescent="0.25">
      <c r="A241" t="s">
        <v>1044</v>
      </c>
      <c r="B241" t="s">
        <v>798</v>
      </c>
      <c r="C241" s="1">
        <v>44634</v>
      </c>
      <c r="D241" s="1">
        <f>IF(E241="",C241+VLOOKUP(B241,Lembar2!$B$19:$C$24,2,FALSE),'Procurement Dataset'!E241)</f>
        <v>44644</v>
      </c>
      <c r="F241" t="s">
        <v>802</v>
      </c>
      <c r="G241" t="s">
        <v>796</v>
      </c>
      <c r="H241" s="5">
        <v>682</v>
      </c>
      <c r="I241" s="3">
        <v>81.84</v>
      </c>
      <c r="J241" s="3">
        <v>71.86</v>
      </c>
      <c r="K241" s="5">
        <f t="shared" si="22"/>
        <v>40</v>
      </c>
      <c r="L241">
        <v>40</v>
      </c>
      <c r="M241" t="s">
        <v>793</v>
      </c>
      <c r="N241" t="str">
        <f t="shared" si="21"/>
        <v/>
      </c>
      <c r="O241" t="str">
        <f t="shared" si="23"/>
        <v>Valid</v>
      </c>
      <c r="P241" s="1" t="str">
        <f>IF(N241&gt;=(VLOOKUP(B241,Lembar2!$B$19:$C$24,2,FALSE)+7),"Delayed","Ontime")</f>
        <v>Delayed</v>
      </c>
      <c r="Q241" s="3">
        <f t="shared" si="24"/>
        <v>55814.880000000005</v>
      </c>
      <c r="R241" s="3">
        <f t="shared" si="25"/>
        <v>49008.52</v>
      </c>
      <c r="S241" s="3">
        <f t="shared" si="26"/>
        <v>6806.3600000000079</v>
      </c>
      <c r="T241">
        <f t="shared" si="27"/>
        <v>0</v>
      </c>
    </row>
    <row r="242" spans="1:20" x14ac:dyDescent="0.25">
      <c r="A242" t="s">
        <v>1045</v>
      </c>
      <c r="B242" t="s">
        <v>798</v>
      </c>
      <c r="C242" s="1">
        <v>45088</v>
      </c>
      <c r="D242" s="1">
        <f>IF(E242="",C242+VLOOKUP(B242,Lembar2!$B$19:$C$24,2,FALSE),'Procurement Dataset'!E242)</f>
        <v>45096</v>
      </c>
      <c r="E242" s="1">
        <v>45096</v>
      </c>
      <c r="F242" t="s">
        <v>802</v>
      </c>
      <c r="G242" t="s">
        <v>796</v>
      </c>
      <c r="H242" s="5">
        <v>677</v>
      </c>
      <c r="I242" s="3">
        <v>59.52</v>
      </c>
      <c r="J242" s="3">
        <v>55.29</v>
      </c>
      <c r="K242" s="5">
        <f t="shared" si="22"/>
        <v>39</v>
      </c>
      <c r="L242">
        <v>39</v>
      </c>
      <c r="M242" t="s">
        <v>793</v>
      </c>
      <c r="N242">
        <f t="shared" si="21"/>
        <v>8</v>
      </c>
      <c r="O242" t="str">
        <f t="shared" si="23"/>
        <v>Valid</v>
      </c>
      <c r="P242" s="1" t="str">
        <f>IF(N242&gt;=(VLOOKUP(B242,Lembar2!$B$19:$C$24,2,FALSE)+7),"Delayed","Ontime")</f>
        <v>Ontime</v>
      </c>
      <c r="Q242" s="3">
        <f t="shared" si="24"/>
        <v>40295.040000000001</v>
      </c>
      <c r="R242" s="3">
        <f t="shared" si="25"/>
        <v>37431.33</v>
      </c>
      <c r="S242" s="3">
        <f t="shared" si="26"/>
        <v>2863.7099999999991</v>
      </c>
      <c r="T242">
        <f t="shared" si="27"/>
        <v>1</v>
      </c>
    </row>
    <row r="243" spans="1:20" x14ac:dyDescent="0.25">
      <c r="A243" t="s">
        <v>1046</v>
      </c>
      <c r="B243" t="s">
        <v>795</v>
      </c>
      <c r="C243" s="1">
        <v>44805</v>
      </c>
      <c r="D243" s="1">
        <f>IF(E243="",C243+VLOOKUP(B243,Lembar2!$B$19:$C$24,2,FALSE),'Procurement Dataset'!E243)</f>
        <v>44818</v>
      </c>
      <c r="E243" s="1">
        <v>44818</v>
      </c>
      <c r="F243" t="s">
        <v>791</v>
      </c>
      <c r="G243" t="s">
        <v>796</v>
      </c>
      <c r="H243" s="5">
        <v>1022</v>
      </c>
      <c r="I243" s="3">
        <v>18.54</v>
      </c>
      <c r="J243" s="3">
        <v>16.55</v>
      </c>
      <c r="K243" s="5">
        <f t="shared" si="22"/>
        <v>150</v>
      </c>
      <c r="L243">
        <v>150</v>
      </c>
      <c r="M243" t="s">
        <v>793</v>
      </c>
      <c r="N243">
        <f t="shared" si="21"/>
        <v>13</v>
      </c>
      <c r="O243" t="str">
        <f t="shared" si="23"/>
        <v>Valid</v>
      </c>
      <c r="P243" s="1" t="str">
        <f>IF(N243&gt;=(VLOOKUP(B243,Lembar2!$B$19:$C$24,2,FALSE)+7),"Delayed","Ontime")</f>
        <v>Ontime</v>
      </c>
      <c r="Q243" s="3">
        <f t="shared" si="24"/>
        <v>18947.879999999997</v>
      </c>
      <c r="R243" s="3">
        <f t="shared" si="25"/>
        <v>16914.100000000002</v>
      </c>
      <c r="S243" s="3">
        <f t="shared" si="26"/>
        <v>2033.7799999999952</v>
      </c>
      <c r="T243">
        <f t="shared" si="27"/>
        <v>1</v>
      </c>
    </row>
    <row r="244" spans="1:20" x14ac:dyDescent="0.25">
      <c r="A244" t="s">
        <v>1047</v>
      </c>
      <c r="B244" t="s">
        <v>790</v>
      </c>
      <c r="C244" s="1">
        <v>44847</v>
      </c>
      <c r="D244" s="1">
        <f>IF(E244="",C244+VLOOKUP(B244,Lembar2!$B$19:$C$24,2,FALSE),'Procurement Dataset'!E244)</f>
        <v>44858</v>
      </c>
      <c r="F244" t="s">
        <v>804</v>
      </c>
      <c r="G244" t="s">
        <v>796</v>
      </c>
      <c r="H244" s="5">
        <v>1818</v>
      </c>
      <c r="I244" s="3">
        <v>60.96</v>
      </c>
      <c r="J244" s="3">
        <v>57.13</v>
      </c>
      <c r="K244" s="5">
        <f t="shared" si="22"/>
        <v>41</v>
      </c>
      <c r="L244">
        <v>41</v>
      </c>
      <c r="M244" t="s">
        <v>793</v>
      </c>
      <c r="N244" t="str">
        <f t="shared" si="21"/>
        <v/>
      </c>
      <c r="O244" t="str">
        <f t="shared" si="23"/>
        <v>Valid</v>
      </c>
      <c r="P244" s="1" t="str">
        <f>IF(N244&gt;=(VLOOKUP(B244,Lembar2!$B$19:$C$24,2,FALSE)+7),"Delayed","Ontime")</f>
        <v>Delayed</v>
      </c>
      <c r="Q244" s="3">
        <f t="shared" si="24"/>
        <v>110825.28</v>
      </c>
      <c r="R244" s="3">
        <f t="shared" si="25"/>
        <v>103862.34000000001</v>
      </c>
      <c r="S244" s="3">
        <f t="shared" si="26"/>
        <v>6962.9399999999878</v>
      </c>
      <c r="T244">
        <f t="shared" si="27"/>
        <v>0</v>
      </c>
    </row>
    <row r="245" spans="1:20" x14ac:dyDescent="0.25">
      <c r="A245" t="s">
        <v>1048</v>
      </c>
      <c r="B245" t="s">
        <v>807</v>
      </c>
      <c r="C245" s="1">
        <v>45247</v>
      </c>
      <c r="D245" s="1">
        <f>IF(E245="",C245+VLOOKUP(B245,Lembar2!$B$19:$C$24,2,FALSE),'Procurement Dataset'!E245)</f>
        <v>45259</v>
      </c>
      <c r="E245" s="1">
        <v>45259</v>
      </c>
      <c r="F245" t="s">
        <v>817</v>
      </c>
      <c r="G245" t="s">
        <v>796</v>
      </c>
      <c r="H245" s="5">
        <v>1332</v>
      </c>
      <c r="I245" s="3">
        <v>69.73</v>
      </c>
      <c r="J245" s="3">
        <v>63.8</v>
      </c>
      <c r="K245" s="5">
        <f t="shared" si="22"/>
        <v>41</v>
      </c>
      <c r="L245">
        <v>41</v>
      </c>
      <c r="M245" t="s">
        <v>793</v>
      </c>
      <c r="N245">
        <f t="shared" si="21"/>
        <v>12</v>
      </c>
      <c r="O245" t="str">
        <f t="shared" si="23"/>
        <v>Valid</v>
      </c>
      <c r="P245" s="1" t="str">
        <f>IF(N245&gt;=(VLOOKUP(B245,Lembar2!$B$19:$C$24,2,FALSE)+7),"Delayed","Ontime")</f>
        <v>Ontime</v>
      </c>
      <c r="Q245" s="3">
        <f t="shared" si="24"/>
        <v>92880.36</v>
      </c>
      <c r="R245" s="3">
        <f t="shared" si="25"/>
        <v>84981.599999999991</v>
      </c>
      <c r="S245" s="3">
        <f t="shared" si="26"/>
        <v>7898.7600000000093</v>
      </c>
      <c r="T245">
        <f t="shared" si="27"/>
        <v>1</v>
      </c>
    </row>
    <row r="246" spans="1:20" x14ac:dyDescent="0.25">
      <c r="A246" t="s">
        <v>1049</v>
      </c>
      <c r="B246" t="s">
        <v>801</v>
      </c>
      <c r="C246" s="1">
        <v>45059</v>
      </c>
      <c r="D246" s="1">
        <f>IF(E246="",C246+VLOOKUP(B246,Lembar2!$B$19:$C$24,2,FALSE),'Procurement Dataset'!E246)</f>
        <v>45072</v>
      </c>
      <c r="E246" s="1">
        <v>45072</v>
      </c>
      <c r="F246" t="s">
        <v>804</v>
      </c>
      <c r="G246" t="s">
        <v>796</v>
      </c>
      <c r="H246" s="5">
        <v>1432</v>
      </c>
      <c r="I246" s="3">
        <v>83.26</v>
      </c>
      <c r="J246" s="3">
        <v>77.67</v>
      </c>
      <c r="K246" s="5">
        <f t="shared" si="22"/>
        <v>174</v>
      </c>
      <c r="L246">
        <v>174</v>
      </c>
      <c r="M246" t="s">
        <v>793</v>
      </c>
      <c r="N246">
        <f t="shared" si="21"/>
        <v>13</v>
      </c>
      <c r="O246" t="str">
        <f t="shared" si="23"/>
        <v>Valid</v>
      </c>
      <c r="P246" s="1" t="str">
        <f>IF(N246&gt;=(VLOOKUP(B246,Lembar2!$B$19:$C$24,2,FALSE)+7),"Delayed","Ontime")</f>
        <v>Ontime</v>
      </c>
      <c r="Q246" s="3">
        <f t="shared" si="24"/>
        <v>119228.32</v>
      </c>
      <c r="R246" s="3">
        <f t="shared" si="25"/>
        <v>111223.44</v>
      </c>
      <c r="S246" s="3">
        <f t="shared" si="26"/>
        <v>8004.8800000000047</v>
      </c>
      <c r="T246">
        <f t="shared" si="27"/>
        <v>1</v>
      </c>
    </row>
    <row r="247" spans="1:20" x14ac:dyDescent="0.25">
      <c r="A247" t="s">
        <v>1050</v>
      </c>
      <c r="B247" t="s">
        <v>801</v>
      </c>
      <c r="C247" s="1">
        <v>44781</v>
      </c>
      <c r="D247" s="1">
        <f>IF(E247="",C247+VLOOKUP(B247,Lembar2!$B$19:$C$24,2,FALSE),'Procurement Dataset'!E247)</f>
        <v>44799</v>
      </c>
      <c r="E247" s="1">
        <v>44799</v>
      </c>
      <c r="F247" t="s">
        <v>802</v>
      </c>
      <c r="G247" t="s">
        <v>813</v>
      </c>
      <c r="H247" s="5">
        <v>759</v>
      </c>
      <c r="I247" s="3">
        <v>50.56</v>
      </c>
      <c r="J247" s="3">
        <v>46.47</v>
      </c>
      <c r="K247" s="5">
        <f t="shared" si="22"/>
        <v>63</v>
      </c>
      <c r="L247">
        <v>63</v>
      </c>
      <c r="M247" t="s">
        <v>805</v>
      </c>
      <c r="N247">
        <f t="shared" si="21"/>
        <v>18</v>
      </c>
      <c r="O247" t="str">
        <f t="shared" si="23"/>
        <v>Valid</v>
      </c>
      <c r="P247" s="1" t="str">
        <f>IF(N247&gt;=(VLOOKUP(B247,Lembar2!$B$19:$C$24,2,FALSE)+7),"Delayed","Ontime")</f>
        <v>Ontime</v>
      </c>
      <c r="Q247" s="3">
        <f t="shared" si="24"/>
        <v>38375.040000000001</v>
      </c>
      <c r="R247" s="3">
        <f t="shared" si="25"/>
        <v>35270.729999999996</v>
      </c>
      <c r="S247" s="3">
        <f t="shared" si="26"/>
        <v>3104.3100000000049</v>
      </c>
      <c r="T247">
        <f t="shared" si="27"/>
        <v>1</v>
      </c>
    </row>
    <row r="248" spans="1:20" x14ac:dyDescent="0.25">
      <c r="A248" t="s">
        <v>1051</v>
      </c>
      <c r="B248" t="s">
        <v>790</v>
      </c>
      <c r="C248" s="1">
        <v>45114</v>
      </c>
      <c r="D248" s="1">
        <f>IF(E248="",C248+VLOOKUP(B248,Lembar2!$B$19:$C$24,2,FALSE),'Procurement Dataset'!E248)</f>
        <v>45126</v>
      </c>
      <c r="E248" s="1">
        <v>45126</v>
      </c>
      <c r="F248" t="s">
        <v>802</v>
      </c>
      <c r="G248" t="s">
        <v>796</v>
      </c>
      <c r="H248" s="5">
        <v>1529</v>
      </c>
      <c r="I248" s="3">
        <v>23.42</v>
      </c>
      <c r="J248" s="3">
        <v>22.44</v>
      </c>
      <c r="K248" s="5">
        <f t="shared" si="22"/>
        <v>30</v>
      </c>
      <c r="L248">
        <v>30</v>
      </c>
      <c r="M248" t="s">
        <v>793</v>
      </c>
      <c r="N248">
        <f t="shared" si="21"/>
        <v>12</v>
      </c>
      <c r="O248" t="str">
        <f t="shared" si="23"/>
        <v>Valid</v>
      </c>
      <c r="P248" s="1" t="str">
        <f>IF(N248&gt;=(VLOOKUP(B248,Lembar2!$B$19:$C$24,2,FALSE)+7),"Delayed","Ontime")</f>
        <v>Ontime</v>
      </c>
      <c r="Q248" s="3">
        <f t="shared" si="24"/>
        <v>35809.18</v>
      </c>
      <c r="R248" s="3">
        <f t="shared" si="25"/>
        <v>34310.76</v>
      </c>
      <c r="S248" s="3">
        <f t="shared" si="26"/>
        <v>1498.4199999999983</v>
      </c>
      <c r="T248">
        <f t="shared" si="27"/>
        <v>1</v>
      </c>
    </row>
    <row r="249" spans="1:20" x14ac:dyDescent="0.25">
      <c r="A249" t="s">
        <v>1052</v>
      </c>
      <c r="B249" t="s">
        <v>798</v>
      </c>
      <c r="C249" s="1">
        <v>44697</v>
      </c>
      <c r="D249" s="1">
        <f>IF(E249="",C249+VLOOKUP(B249,Lembar2!$B$19:$C$24,2,FALSE),'Procurement Dataset'!E249)</f>
        <v>44706</v>
      </c>
      <c r="E249" s="1">
        <v>44706</v>
      </c>
      <c r="F249" t="s">
        <v>817</v>
      </c>
      <c r="G249" t="s">
        <v>796</v>
      </c>
      <c r="H249" s="5">
        <v>1484</v>
      </c>
      <c r="I249" s="3">
        <v>36.25</v>
      </c>
      <c r="J249" s="3">
        <v>31.8</v>
      </c>
      <c r="K249" s="5">
        <f t="shared" si="22"/>
        <v>61</v>
      </c>
      <c r="L249">
        <v>61</v>
      </c>
      <c r="M249" t="s">
        <v>793</v>
      </c>
      <c r="N249">
        <f t="shared" si="21"/>
        <v>9</v>
      </c>
      <c r="O249" t="str">
        <f t="shared" si="23"/>
        <v>Valid</v>
      </c>
      <c r="P249" s="1" t="str">
        <f>IF(N249&gt;=(VLOOKUP(B249,Lembar2!$B$19:$C$24,2,FALSE)+7),"Delayed","Ontime")</f>
        <v>Ontime</v>
      </c>
      <c r="Q249" s="3">
        <f t="shared" si="24"/>
        <v>53795</v>
      </c>
      <c r="R249" s="3">
        <f t="shared" si="25"/>
        <v>47191.200000000004</v>
      </c>
      <c r="S249" s="3">
        <f t="shared" si="26"/>
        <v>6603.7999999999956</v>
      </c>
      <c r="T249">
        <f t="shared" si="27"/>
        <v>1</v>
      </c>
    </row>
    <row r="250" spans="1:20" x14ac:dyDescent="0.25">
      <c r="A250" t="s">
        <v>1053</v>
      </c>
      <c r="B250" t="s">
        <v>807</v>
      </c>
      <c r="C250" s="1">
        <v>45146</v>
      </c>
      <c r="D250" s="1">
        <f>IF(E250="",C250+VLOOKUP(B250,Lembar2!$B$19:$C$24,2,FALSE),'Procurement Dataset'!E250)</f>
        <v>45158</v>
      </c>
      <c r="E250" s="1">
        <v>45158</v>
      </c>
      <c r="F250" t="s">
        <v>802</v>
      </c>
      <c r="G250" t="s">
        <v>796</v>
      </c>
      <c r="H250" s="5">
        <v>698</v>
      </c>
      <c r="I250" s="3">
        <v>46.73</v>
      </c>
      <c r="J250" s="3">
        <v>45.61</v>
      </c>
      <c r="K250" s="5">
        <f t="shared" si="22"/>
        <v>15</v>
      </c>
      <c r="L250">
        <v>15</v>
      </c>
      <c r="M250" t="s">
        <v>793</v>
      </c>
      <c r="N250">
        <f t="shared" si="21"/>
        <v>12</v>
      </c>
      <c r="O250" t="str">
        <f t="shared" si="23"/>
        <v>Valid</v>
      </c>
      <c r="P250" s="1" t="str">
        <f>IF(N250&gt;=(VLOOKUP(B250,Lembar2!$B$19:$C$24,2,FALSE)+7),"Delayed","Ontime")</f>
        <v>Ontime</v>
      </c>
      <c r="Q250" s="3">
        <f t="shared" si="24"/>
        <v>32617.539999999997</v>
      </c>
      <c r="R250" s="3">
        <f t="shared" si="25"/>
        <v>31835.78</v>
      </c>
      <c r="S250" s="3">
        <f t="shared" si="26"/>
        <v>781.7599999999984</v>
      </c>
      <c r="T250">
        <f t="shared" si="27"/>
        <v>1</v>
      </c>
    </row>
    <row r="251" spans="1:20" x14ac:dyDescent="0.25">
      <c r="A251" t="s">
        <v>1054</v>
      </c>
      <c r="B251" t="s">
        <v>807</v>
      </c>
      <c r="C251" s="1">
        <v>45152</v>
      </c>
      <c r="D251" s="1">
        <f>IF(E251="",C251+VLOOKUP(B251,Lembar2!$B$19:$C$24,2,FALSE),'Procurement Dataset'!E251)</f>
        <v>45160</v>
      </c>
      <c r="E251" s="1">
        <v>45160</v>
      </c>
      <c r="F251" t="s">
        <v>802</v>
      </c>
      <c r="G251" t="s">
        <v>813</v>
      </c>
      <c r="H251" s="5">
        <v>367</v>
      </c>
      <c r="I251" s="3">
        <v>74.61</v>
      </c>
      <c r="J251" s="3">
        <v>71.36</v>
      </c>
      <c r="K251" s="5">
        <f t="shared" si="22"/>
        <v>13</v>
      </c>
      <c r="L251">
        <v>13</v>
      </c>
      <c r="M251" t="s">
        <v>793</v>
      </c>
      <c r="N251">
        <f t="shared" si="21"/>
        <v>8</v>
      </c>
      <c r="O251" t="str">
        <f t="shared" si="23"/>
        <v>Valid</v>
      </c>
      <c r="P251" s="1" t="str">
        <f>IF(N251&gt;=(VLOOKUP(B251,Lembar2!$B$19:$C$24,2,FALSE)+7),"Delayed","Ontime")</f>
        <v>Ontime</v>
      </c>
      <c r="Q251" s="3">
        <f t="shared" si="24"/>
        <v>27381.87</v>
      </c>
      <c r="R251" s="3">
        <f t="shared" si="25"/>
        <v>26189.119999999999</v>
      </c>
      <c r="S251" s="3">
        <f t="shared" si="26"/>
        <v>1192.75</v>
      </c>
      <c r="T251">
        <f t="shared" si="27"/>
        <v>1</v>
      </c>
    </row>
    <row r="252" spans="1:20" x14ac:dyDescent="0.25">
      <c r="A252" t="s">
        <v>1055</v>
      </c>
      <c r="B252" t="s">
        <v>807</v>
      </c>
      <c r="C252" s="1">
        <v>45046</v>
      </c>
      <c r="D252" s="1">
        <f>IF(E252="",C252+VLOOKUP(B252,Lembar2!$B$19:$C$24,2,FALSE),'Procurement Dataset'!E252)</f>
        <v>45066</v>
      </c>
      <c r="E252" s="1">
        <v>45066</v>
      </c>
      <c r="F252" t="s">
        <v>791</v>
      </c>
      <c r="G252" t="s">
        <v>811</v>
      </c>
      <c r="H252" s="5">
        <v>1750</v>
      </c>
      <c r="I252" s="3">
        <v>65.97</v>
      </c>
      <c r="J252" s="3">
        <v>58.34</v>
      </c>
      <c r="K252" s="5">
        <f t="shared" si="22"/>
        <v>50</v>
      </c>
      <c r="L252">
        <v>50</v>
      </c>
      <c r="M252" t="s">
        <v>793</v>
      </c>
      <c r="N252">
        <f t="shared" si="21"/>
        <v>20</v>
      </c>
      <c r="O252" t="str">
        <f t="shared" si="23"/>
        <v>Valid</v>
      </c>
      <c r="P252" s="1" t="str">
        <f>IF(N252&gt;=(VLOOKUP(B252,Lembar2!$B$19:$C$24,2,FALSE)+7),"Delayed","Ontime")</f>
        <v>Delayed</v>
      </c>
      <c r="Q252" s="3">
        <f t="shared" si="24"/>
        <v>115447.5</v>
      </c>
      <c r="R252" s="3">
        <f t="shared" si="25"/>
        <v>102095</v>
      </c>
      <c r="S252" s="3">
        <f t="shared" si="26"/>
        <v>13352.5</v>
      </c>
      <c r="T252">
        <f t="shared" si="27"/>
        <v>0</v>
      </c>
    </row>
    <row r="253" spans="1:20" x14ac:dyDescent="0.25">
      <c r="A253" t="s">
        <v>1056</v>
      </c>
      <c r="B253" t="s">
        <v>795</v>
      </c>
      <c r="C253" s="1">
        <v>44810</v>
      </c>
      <c r="D253" s="1">
        <f>IF(E253="",C253+VLOOKUP(B253,Lembar2!$B$19:$C$24,2,FALSE),'Procurement Dataset'!E253)</f>
        <v>44828</v>
      </c>
      <c r="E253" s="1">
        <v>44828</v>
      </c>
      <c r="F253" t="s">
        <v>791</v>
      </c>
      <c r="G253" t="s">
        <v>811</v>
      </c>
      <c r="H253" s="5">
        <v>1298</v>
      </c>
      <c r="I253" s="3">
        <v>43.73</v>
      </c>
      <c r="J253" s="3">
        <v>37.21</v>
      </c>
      <c r="K253" s="5">
        <f t="shared" si="22"/>
        <v>0</v>
      </c>
      <c r="M253" t="s">
        <v>805</v>
      </c>
      <c r="N253">
        <f t="shared" si="21"/>
        <v>18</v>
      </c>
      <c r="O253" t="str">
        <f t="shared" si="23"/>
        <v>Valid</v>
      </c>
      <c r="P253" s="1" t="str">
        <f>IF(N253&gt;=(VLOOKUP(B253,Lembar2!$B$19:$C$24,2,FALSE)+7),"Delayed","Ontime")</f>
        <v>Delayed</v>
      </c>
      <c r="Q253" s="3">
        <f t="shared" si="24"/>
        <v>56761.539999999994</v>
      </c>
      <c r="R253" s="3">
        <f t="shared" si="25"/>
        <v>48298.58</v>
      </c>
      <c r="S253" s="3">
        <f t="shared" si="26"/>
        <v>8462.9599999999919</v>
      </c>
      <c r="T253">
        <f t="shared" si="27"/>
        <v>0</v>
      </c>
    </row>
    <row r="254" spans="1:20" x14ac:dyDescent="0.25">
      <c r="A254" t="s">
        <v>1057</v>
      </c>
      <c r="B254" t="s">
        <v>798</v>
      </c>
      <c r="C254" s="1">
        <v>45046</v>
      </c>
      <c r="D254" s="1">
        <f>IF(E254="",C254+VLOOKUP(B254,Lembar2!$B$19:$C$24,2,FALSE),'Procurement Dataset'!E254)</f>
        <v>45066</v>
      </c>
      <c r="E254" s="1">
        <v>45066</v>
      </c>
      <c r="F254" t="s">
        <v>802</v>
      </c>
      <c r="G254" t="s">
        <v>796</v>
      </c>
      <c r="H254" s="5">
        <v>1892</v>
      </c>
      <c r="I254" s="3">
        <v>106.2</v>
      </c>
      <c r="J254" s="3">
        <v>96.37</v>
      </c>
      <c r="K254" s="5">
        <f t="shared" si="22"/>
        <v>93</v>
      </c>
      <c r="L254">
        <v>93</v>
      </c>
      <c r="M254" t="s">
        <v>793</v>
      </c>
      <c r="N254">
        <f t="shared" si="21"/>
        <v>20</v>
      </c>
      <c r="O254" t="str">
        <f t="shared" si="23"/>
        <v>Valid</v>
      </c>
      <c r="P254" s="1" t="str">
        <f>IF(N254&gt;=(VLOOKUP(B254,Lembar2!$B$19:$C$24,2,FALSE)+7),"Delayed","Ontime")</f>
        <v>Delayed</v>
      </c>
      <c r="Q254" s="3">
        <f t="shared" si="24"/>
        <v>200930.4</v>
      </c>
      <c r="R254" s="3">
        <f t="shared" si="25"/>
        <v>182332.04</v>
      </c>
      <c r="S254" s="3">
        <f t="shared" si="26"/>
        <v>18598.359999999986</v>
      </c>
      <c r="T254">
        <f t="shared" si="27"/>
        <v>0</v>
      </c>
    </row>
    <row r="255" spans="1:20" x14ac:dyDescent="0.25">
      <c r="A255" t="s">
        <v>1058</v>
      </c>
      <c r="B255" t="s">
        <v>801</v>
      </c>
      <c r="C255" s="1">
        <v>44978</v>
      </c>
      <c r="D255" s="1">
        <f>IF(E255="",C255+VLOOKUP(B255,Lembar2!$B$19:$C$24,2,FALSE),'Procurement Dataset'!E255)</f>
        <v>44981</v>
      </c>
      <c r="E255" s="1">
        <v>44981</v>
      </c>
      <c r="F255" t="s">
        <v>817</v>
      </c>
      <c r="G255" t="s">
        <v>796</v>
      </c>
      <c r="H255" s="5">
        <v>1307</v>
      </c>
      <c r="I255" s="3">
        <v>68.709999999999994</v>
      </c>
      <c r="J255" s="3">
        <v>60.64</v>
      </c>
      <c r="K255" s="5">
        <f t="shared" si="22"/>
        <v>141</v>
      </c>
      <c r="L255">
        <v>141</v>
      </c>
      <c r="M255" t="s">
        <v>793</v>
      </c>
      <c r="N255">
        <f t="shared" si="21"/>
        <v>3</v>
      </c>
      <c r="O255" t="str">
        <f t="shared" si="23"/>
        <v>Valid</v>
      </c>
      <c r="P255" s="1" t="str">
        <f>IF(N255&gt;=(VLOOKUP(B255,Lembar2!$B$19:$C$24,2,FALSE)+7),"Delayed","Ontime")</f>
        <v>Ontime</v>
      </c>
      <c r="Q255" s="3">
        <f t="shared" si="24"/>
        <v>89803.969999999987</v>
      </c>
      <c r="R255" s="3">
        <f t="shared" si="25"/>
        <v>79256.479999999996</v>
      </c>
      <c r="S255" s="3">
        <f t="shared" si="26"/>
        <v>10547.489999999991</v>
      </c>
      <c r="T255">
        <f t="shared" si="27"/>
        <v>1</v>
      </c>
    </row>
    <row r="256" spans="1:20" x14ac:dyDescent="0.25">
      <c r="A256" t="s">
        <v>1059</v>
      </c>
      <c r="B256" t="s">
        <v>801</v>
      </c>
      <c r="C256" s="1">
        <v>44756</v>
      </c>
      <c r="D256" s="1">
        <f>IF(E256="",C256+VLOOKUP(B256,Lembar2!$B$19:$C$24,2,FALSE),'Procurement Dataset'!E256)</f>
        <v>44771</v>
      </c>
      <c r="E256" s="1">
        <v>44771</v>
      </c>
      <c r="F256" t="s">
        <v>817</v>
      </c>
      <c r="G256" t="s">
        <v>796</v>
      </c>
      <c r="H256" s="5">
        <v>733</v>
      </c>
      <c r="I256" s="3">
        <v>32.29</v>
      </c>
      <c r="J256" s="3">
        <v>29.01</v>
      </c>
      <c r="K256" s="5">
        <f t="shared" si="22"/>
        <v>78</v>
      </c>
      <c r="L256">
        <v>78</v>
      </c>
      <c r="M256" t="s">
        <v>793</v>
      </c>
      <c r="N256">
        <f t="shared" si="21"/>
        <v>15</v>
      </c>
      <c r="O256" t="str">
        <f t="shared" si="23"/>
        <v>Valid</v>
      </c>
      <c r="P256" s="1" t="str">
        <f>IF(N256&gt;=(VLOOKUP(B256,Lembar2!$B$19:$C$24,2,FALSE)+7),"Delayed","Ontime")</f>
        <v>Ontime</v>
      </c>
      <c r="Q256" s="3">
        <f t="shared" si="24"/>
        <v>23668.57</v>
      </c>
      <c r="R256" s="3">
        <f t="shared" si="25"/>
        <v>21264.33</v>
      </c>
      <c r="S256" s="3">
        <f t="shared" si="26"/>
        <v>2404.239999999998</v>
      </c>
      <c r="T256">
        <f t="shared" si="27"/>
        <v>1</v>
      </c>
    </row>
    <row r="257" spans="1:20" x14ac:dyDescent="0.25">
      <c r="A257" t="s">
        <v>1060</v>
      </c>
      <c r="B257" t="s">
        <v>798</v>
      </c>
      <c r="C257" s="1">
        <v>44658</v>
      </c>
      <c r="D257" s="1">
        <f>IF(E257="",C257+VLOOKUP(B257,Lembar2!$B$19:$C$24,2,FALSE),'Procurement Dataset'!E257)</f>
        <v>44668</v>
      </c>
      <c r="F257" t="s">
        <v>802</v>
      </c>
      <c r="G257" t="s">
        <v>796</v>
      </c>
      <c r="H257" s="5">
        <v>713</v>
      </c>
      <c r="I257" s="3">
        <v>19.45</v>
      </c>
      <c r="J257" s="3">
        <v>18.82</v>
      </c>
      <c r="K257" s="5">
        <f t="shared" si="22"/>
        <v>31</v>
      </c>
      <c r="L257">
        <v>31</v>
      </c>
      <c r="M257" t="s">
        <v>793</v>
      </c>
      <c r="N257" t="str">
        <f t="shared" si="21"/>
        <v/>
      </c>
      <c r="O257" t="str">
        <f t="shared" si="23"/>
        <v>Valid</v>
      </c>
      <c r="P257" s="1" t="str">
        <f>IF(N257&gt;=(VLOOKUP(B257,Lembar2!$B$19:$C$24,2,FALSE)+7),"Delayed","Ontime")</f>
        <v>Delayed</v>
      </c>
      <c r="Q257" s="3">
        <f t="shared" si="24"/>
        <v>13867.85</v>
      </c>
      <c r="R257" s="3">
        <f t="shared" si="25"/>
        <v>13418.66</v>
      </c>
      <c r="S257" s="3">
        <f t="shared" si="26"/>
        <v>449.19000000000051</v>
      </c>
      <c r="T257">
        <f t="shared" si="27"/>
        <v>0</v>
      </c>
    </row>
    <row r="258" spans="1:20" x14ac:dyDescent="0.25">
      <c r="A258" t="s">
        <v>1061</v>
      </c>
      <c r="B258" t="s">
        <v>801</v>
      </c>
      <c r="C258" s="1">
        <v>44661</v>
      </c>
      <c r="D258" s="1">
        <f>IF(E258="",C258+VLOOKUP(B258,Lembar2!$B$19:$C$24,2,FALSE),'Procurement Dataset'!E258)</f>
        <v>44675</v>
      </c>
      <c r="E258" s="1">
        <v>44675</v>
      </c>
      <c r="F258" t="s">
        <v>802</v>
      </c>
      <c r="G258" t="s">
        <v>796</v>
      </c>
      <c r="H258" s="5">
        <v>1900</v>
      </c>
      <c r="I258" s="3">
        <v>24.11</v>
      </c>
      <c r="J258" s="3">
        <v>23.45</v>
      </c>
      <c r="K258" s="5">
        <f t="shared" si="22"/>
        <v>188</v>
      </c>
      <c r="L258">
        <v>188</v>
      </c>
      <c r="M258" t="s">
        <v>793</v>
      </c>
      <c r="N258">
        <f t="shared" ref="N258:N321" si="28">IF(E258 = "", "", E258-C258)</f>
        <v>14</v>
      </c>
      <c r="O258" t="str">
        <f t="shared" si="23"/>
        <v>Valid</v>
      </c>
      <c r="P258" s="1" t="str">
        <f>IF(N258&gt;=(VLOOKUP(B258,Lembar2!$B$19:$C$24,2,FALSE)+7),"Delayed","Ontime")</f>
        <v>Ontime</v>
      </c>
      <c r="Q258" s="3">
        <f t="shared" si="24"/>
        <v>45809</v>
      </c>
      <c r="R258" s="3">
        <f t="shared" si="25"/>
        <v>44555</v>
      </c>
      <c r="S258" s="3">
        <f t="shared" si="26"/>
        <v>1254</v>
      </c>
      <c r="T258">
        <f t="shared" si="27"/>
        <v>1</v>
      </c>
    </row>
    <row r="259" spans="1:20" x14ac:dyDescent="0.25">
      <c r="A259" t="s">
        <v>1062</v>
      </c>
      <c r="B259" t="s">
        <v>795</v>
      </c>
      <c r="C259" s="1">
        <v>45236</v>
      </c>
      <c r="D259" s="1">
        <f>IF(E259="",C259+VLOOKUP(B259,Lembar2!$B$19:$C$24,2,FALSE),'Procurement Dataset'!E259)</f>
        <v>45238</v>
      </c>
      <c r="E259" s="1">
        <v>45238</v>
      </c>
      <c r="F259" t="s">
        <v>799</v>
      </c>
      <c r="G259" t="s">
        <v>792</v>
      </c>
      <c r="H259" s="5">
        <v>1447</v>
      </c>
      <c r="I259" s="3">
        <v>35.67</v>
      </c>
      <c r="J259" s="3">
        <v>35.07</v>
      </c>
      <c r="K259" s="5">
        <f t="shared" ref="K259:K322" si="29">IF(L259="", 0, L259)</f>
        <v>224</v>
      </c>
      <c r="L259">
        <v>224</v>
      </c>
      <c r="M259" t="s">
        <v>805</v>
      </c>
      <c r="N259">
        <f t="shared" si="28"/>
        <v>2</v>
      </c>
      <c r="O259" t="str">
        <f t="shared" ref="O259:O322" si="30">IF(D259&lt;C259,"Invalid","Valid")</f>
        <v>Valid</v>
      </c>
      <c r="P259" s="1" t="str">
        <f>IF(N259&gt;=(VLOOKUP(B259,Lembar2!$B$19:$C$24,2,FALSE)+7),"Delayed","Ontime")</f>
        <v>Ontime</v>
      </c>
      <c r="Q259" s="3">
        <f t="shared" ref="Q259:Q322" si="31">H259*I259</f>
        <v>51614.490000000005</v>
      </c>
      <c r="R259" s="3">
        <f t="shared" ref="R259:R322" si="32">H259*J259</f>
        <v>50746.29</v>
      </c>
      <c r="S259" s="3">
        <f t="shared" ref="S259:S322" si="33">Q259-R259</f>
        <v>868.20000000000437</v>
      </c>
      <c r="T259">
        <f t="shared" ref="T259:T322" si="34">IF(P259="Ontime",1,0)</f>
        <v>1</v>
      </c>
    </row>
    <row r="260" spans="1:20" x14ac:dyDescent="0.25">
      <c r="A260" t="s">
        <v>1063</v>
      </c>
      <c r="B260" t="s">
        <v>807</v>
      </c>
      <c r="C260" s="1">
        <v>45003</v>
      </c>
      <c r="D260" s="1">
        <f>IF(E260="",C260+VLOOKUP(B260,Lembar2!$B$19:$C$24,2,FALSE),'Procurement Dataset'!E260)</f>
        <v>45014</v>
      </c>
      <c r="F260" t="s">
        <v>791</v>
      </c>
      <c r="G260" t="s">
        <v>796</v>
      </c>
      <c r="H260" s="5">
        <v>1745</v>
      </c>
      <c r="I260" s="3">
        <v>26.17</v>
      </c>
      <c r="J260" s="3">
        <v>22.25</v>
      </c>
      <c r="K260" s="5">
        <f t="shared" si="29"/>
        <v>55</v>
      </c>
      <c r="L260">
        <v>55</v>
      </c>
      <c r="M260" t="s">
        <v>793</v>
      </c>
      <c r="N260" t="str">
        <f t="shared" si="28"/>
        <v/>
      </c>
      <c r="O260" t="str">
        <f t="shared" si="30"/>
        <v>Valid</v>
      </c>
      <c r="P260" s="1" t="str">
        <f>IF(N260&gt;=(VLOOKUP(B260,Lembar2!$B$19:$C$24,2,FALSE)+7),"Delayed","Ontime")</f>
        <v>Delayed</v>
      </c>
      <c r="Q260" s="3">
        <f t="shared" si="31"/>
        <v>45666.65</v>
      </c>
      <c r="R260" s="3">
        <f t="shared" si="32"/>
        <v>38826.25</v>
      </c>
      <c r="S260" s="3">
        <f t="shared" si="33"/>
        <v>6840.4000000000015</v>
      </c>
      <c r="T260">
        <f t="shared" si="34"/>
        <v>0</v>
      </c>
    </row>
    <row r="261" spans="1:20" x14ac:dyDescent="0.25">
      <c r="A261" t="s">
        <v>1064</v>
      </c>
      <c r="B261" t="s">
        <v>801</v>
      </c>
      <c r="C261" s="1">
        <v>44924</v>
      </c>
      <c r="D261" s="1">
        <f>IF(E261="",C261+VLOOKUP(B261,Lembar2!$B$19:$C$24,2,FALSE),'Procurement Dataset'!E261)</f>
        <v>44940</v>
      </c>
      <c r="E261" s="1">
        <v>44940</v>
      </c>
      <c r="F261" t="s">
        <v>791</v>
      </c>
      <c r="G261" t="s">
        <v>796</v>
      </c>
      <c r="H261" s="5">
        <v>1681</v>
      </c>
      <c r="I261" s="3">
        <v>28.26</v>
      </c>
      <c r="J261" s="3">
        <v>26.62</v>
      </c>
      <c r="K261" s="5">
        <f t="shared" si="29"/>
        <v>143</v>
      </c>
      <c r="L261">
        <v>143</v>
      </c>
      <c r="M261" t="s">
        <v>793</v>
      </c>
      <c r="N261">
        <f t="shared" si="28"/>
        <v>16</v>
      </c>
      <c r="O261" t="str">
        <f t="shared" si="30"/>
        <v>Valid</v>
      </c>
      <c r="P261" s="1" t="str">
        <f>IF(N261&gt;=(VLOOKUP(B261,Lembar2!$B$19:$C$24,2,FALSE)+7),"Delayed","Ontime")</f>
        <v>Ontime</v>
      </c>
      <c r="Q261" s="3">
        <f t="shared" si="31"/>
        <v>47505.060000000005</v>
      </c>
      <c r="R261" s="3">
        <f t="shared" si="32"/>
        <v>44748.22</v>
      </c>
      <c r="S261" s="3">
        <f t="shared" si="33"/>
        <v>2756.8400000000038</v>
      </c>
      <c r="T261">
        <f t="shared" si="34"/>
        <v>1</v>
      </c>
    </row>
    <row r="262" spans="1:20" x14ac:dyDescent="0.25">
      <c r="A262" t="s">
        <v>1065</v>
      </c>
      <c r="B262" t="s">
        <v>795</v>
      </c>
      <c r="C262" s="1">
        <v>44995</v>
      </c>
      <c r="D262" s="1">
        <f>IF(E262="",C262+VLOOKUP(B262,Lembar2!$B$19:$C$24,2,FALSE),'Procurement Dataset'!E262)</f>
        <v>45003</v>
      </c>
      <c r="E262" s="1">
        <v>45003</v>
      </c>
      <c r="F262" t="s">
        <v>817</v>
      </c>
      <c r="G262" t="s">
        <v>796</v>
      </c>
      <c r="H262" s="5">
        <v>1545</v>
      </c>
      <c r="I262" s="3">
        <v>38.15</v>
      </c>
      <c r="J262" s="3">
        <v>36.96</v>
      </c>
      <c r="K262" s="5">
        <f t="shared" si="29"/>
        <v>214</v>
      </c>
      <c r="L262">
        <v>214</v>
      </c>
      <c r="M262" t="s">
        <v>793</v>
      </c>
      <c r="N262">
        <f t="shared" si="28"/>
        <v>8</v>
      </c>
      <c r="O262" t="str">
        <f t="shared" si="30"/>
        <v>Valid</v>
      </c>
      <c r="P262" s="1" t="str">
        <f>IF(N262&gt;=(VLOOKUP(B262,Lembar2!$B$19:$C$24,2,FALSE)+7),"Delayed","Ontime")</f>
        <v>Ontime</v>
      </c>
      <c r="Q262" s="3">
        <f t="shared" si="31"/>
        <v>58941.75</v>
      </c>
      <c r="R262" s="3">
        <f t="shared" si="32"/>
        <v>57103.200000000004</v>
      </c>
      <c r="S262" s="3">
        <f t="shared" si="33"/>
        <v>1838.5499999999956</v>
      </c>
      <c r="T262">
        <f t="shared" si="34"/>
        <v>1</v>
      </c>
    </row>
    <row r="263" spans="1:20" x14ac:dyDescent="0.25">
      <c r="A263" t="s">
        <v>1066</v>
      </c>
      <c r="B263" t="s">
        <v>807</v>
      </c>
      <c r="C263" s="1">
        <v>44982</v>
      </c>
      <c r="D263" s="1">
        <f>IF(E263="",C263+VLOOKUP(B263,Lembar2!$B$19:$C$24,2,FALSE),'Procurement Dataset'!E263)</f>
        <v>44987</v>
      </c>
      <c r="E263" s="1">
        <v>44987</v>
      </c>
      <c r="F263" t="s">
        <v>804</v>
      </c>
      <c r="G263" t="s">
        <v>796</v>
      </c>
      <c r="H263" s="5">
        <v>1306</v>
      </c>
      <c r="I263" s="3">
        <v>27.27</v>
      </c>
      <c r="J263" s="3">
        <v>25.96</v>
      </c>
      <c r="K263" s="5">
        <f t="shared" si="29"/>
        <v>39</v>
      </c>
      <c r="L263">
        <v>39</v>
      </c>
      <c r="M263" t="s">
        <v>793</v>
      </c>
      <c r="N263">
        <f t="shared" si="28"/>
        <v>5</v>
      </c>
      <c r="O263" t="str">
        <f t="shared" si="30"/>
        <v>Valid</v>
      </c>
      <c r="P263" s="1" t="str">
        <f>IF(N263&gt;=(VLOOKUP(B263,Lembar2!$B$19:$C$24,2,FALSE)+7),"Delayed","Ontime")</f>
        <v>Ontime</v>
      </c>
      <c r="Q263" s="3">
        <f t="shared" si="31"/>
        <v>35614.620000000003</v>
      </c>
      <c r="R263" s="3">
        <f t="shared" si="32"/>
        <v>33903.760000000002</v>
      </c>
      <c r="S263" s="3">
        <f t="shared" si="33"/>
        <v>1710.8600000000006</v>
      </c>
      <c r="T263">
        <f t="shared" si="34"/>
        <v>1</v>
      </c>
    </row>
    <row r="264" spans="1:20" x14ac:dyDescent="0.25">
      <c r="A264" t="s">
        <v>1067</v>
      </c>
      <c r="B264" t="s">
        <v>798</v>
      </c>
      <c r="C264" s="1">
        <v>45040</v>
      </c>
      <c r="D264" s="1">
        <f>IF(E264="",C264+VLOOKUP(B264,Lembar2!$B$19:$C$24,2,FALSE),'Procurement Dataset'!E264)</f>
        <v>45052</v>
      </c>
      <c r="E264" s="1">
        <v>45052</v>
      </c>
      <c r="F264" t="s">
        <v>804</v>
      </c>
      <c r="G264" t="s">
        <v>796</v>
      </c>
      <c r="H264" s="5">
        <v>1765</v>
      </c>
      <c r="I264" s="3">
        <v>97.51</v>
      </c>
      <c r="J264" s="3">
        <v>84.3</v>
      </c>
      <c r="K264" s="5">
        <f t="shared" si="29"/>
        <v>65</v>
      </c>
      <c r="L264">
        <v>65</v>
      </c>
      <c r="M264" t="s">
        <v>793</v>
      </c>
      <c r="N264">
        <f t="shared" si="28"/>
        <v>12</v>
      </c>
      <c r="O264" t="str">
        <f t="shared" si="30"/>
        <v>Valid</v>
      </c>
      <c r="P264" s="1" t="str">
        <f>IF(N264&gt;=(VLOOKUP(B264,Lembar2!$B$19:$C$24,2,FALSE)+7),"Delayed","Ontime")</f>
        <v>Ontime</v>
      </c>
      <c r="Q264" s="3">
        <f t="shared" si="31"/>
        <v>172105.15000000002</v>
      </c>
      <c r="R264" s="3">
        <f t="shared" si="32"/>
        <v>148789.5</v>
      </c>
      <c r="S264" s="3">
        <f t="shared" si="33"/>
        <v>23315.650000000023</v>
      </c>
      <c r="T264">
        <f t="shared" si="34"/>
        <v>1</v>
      </c>
    </row>
    <row r="265" spans="1:20" x14ac:dyDescent="0.25">
      <c r="A265" t="s">
        <v>1068</v>
      </c>
      <c r="B265" t="s">
        <v>798</v>
      </c>
      <c r="C265" s="1">
        <v>44617</v>
      </c>
      <c r="D265" s="1">
        <f>IF(E265="",C265+VLOOKUP(B265,Lembar2!$B$19:$C$24,2,FALSE),'Procurement Dataset'!E265)</f>
        <v>44635</v>
      </c>
      <c r="E265" s="1">
        <v>44635</v>
      </c>
      <c r="F265" t="s">
        <v>802</v>
      </c>
      <c r="G265" t="s">
        <v>792</v>
      </c>
      <c r="H265" s="5">
        <v>1186</v>
      </c>
      <c r="I265" s="3">
        <v>17.309999999999999</v>
      </c>
      <c r="J265" s="3">
        <v>16</v>
      </c>
      <c r="K265" s="5">
        <f t="shared" si="29"/>
        <v>64</v>
      </c>
      <c r="L265">
        <v>64</v>
      </c>
      <c r="M265" t="s">
        <v>793</v>
      </c>
      <c r="N265">
        <f t="shared" si="28"/>
        <v>18</v>
      </c>
      <c r="O265" t="str">
        <f t="shared" si="30"/>
        <v>Valid</v>
      </c>
      <c r="P265" s="1" t="str">
        <f>IF(N265&gt;=(VLOOKUP(B265,Lembar2!$B$19:$C$24,2,FALSE)+7),"Delayed","Ontime")</f>
        <v>Delayed</v>
      </c>
      <c r="Q265" s="3">
        <f t="shared" si="31"/>
        <v>20529.66</v>
      </c>
      <c r="R265" s="3">
        <f t="shared" si="32"/>
        <v>18976</v>
      </c>
      <c r="S265" s="3">
        <f t="shared" si="33"/>
        <v>1553.6599999999999</v>
      </c>
      <c r="T265">
        <f t="shared" si="34"/>
        <v>0</v>
      </c>
    </row>
    <row r="266" spans="1:20" x14ac:dyDescent="0.25">
      <c r="A266" t="s">
        <v>1069</v>
      </c>
      <c r="B266" t="s">
        <v>795</v>
      </c>
      <c r="C266" s="1">
        <v>45251</v>
      </c>
      <c r="D266" s="1">
        <f>IF(E266="",C266+VLOOKUP(B266,Lembar2!$B$19:$C$24,2,FALSE),'Procurement Dataset'!E266)</f>
        <v>45256</v>
      </c>
      <c r="E266" s="1">
        <v>45256</v>
      </c>
      <c r="F266" t="s">
        <v>802</v>
      </c>
      <c r="G266" t="s">
        <v>796</v>
      </c>
      <c r="H266" s="5">
        <v>1903</v>
      </c>
      <c r="I266" s="3">
        <v>63.5</v>
      </c>
      <c r="J266" s="3">
        <v>56.09</v>
      </c>
      <c r="K266" s="5">
        <f t="shared" si="29"/>
        <v>254</v>
      </c>
      <c r="L266">
        <v>254</v>
      </c>
      <c r="M266" t="s">
        <v>793</v>
      </c>
      <c r="N266">
        <f t="shared" si="28"/>
        <v>5</v>
      </c>
      <c r="O266" t="str">
        <f t="shared" si="30"/>
        <v>Valid</v>
      </c>
      <c r="P266" s="1" t="str">
        <f>IF(N266&gt;=(VLOOKUP(B266,Lembar2!$B$19:$C$24,2,FALSE)+7),"Delayed","Ontime")</f>
        <v>Ontime</v>
      </c>
      <c r="Q266" s="3">
        <f t="shared" si="31"/>
        <v>120840.5</v>
      </c>
      <c r="R266" s="3">
        <f t="shared" si="32"/>
        <v>106739.27</v>
      </c>
      <c r="S266" s="3">
        <f t="shared" si="33"/>
        <v>14101.229999999996</v>
      </c>
      <c r="T266">
        <f t="shared" si="34"/>
        <v>1</v>
      </c>
    </row>
    <row r="267" spans="1:20" x14ac:dyDescent="0.25">
      <c r="A267" t="s">
        <v>1070</v>
      </c>
      <c r="B267" t="s">
        <v>795</v>
      </c>
      <c r="C267" s="1">
        <v>45231</v>
      </c>
      <c r="D267" s="1">
        <f>IF(E267="",C267+VLOOKUP(B267,Lembar2!$B$19:$C$24,2,FALSE),'Procurement Dataset'!E267)</f>
        <v>45235</v>
      </c>
      <c r="E267" s="1">
        <v>45235</v>
      </c>
      <c r="F267" t="s">
        <v>799</v>
      </c>
      <c r="G267" t="s">
        <v>796</v>
      </c>
      <c r="H267" s="5">
        <v>1570</v>
      </c>
      <c r="I267" s="3">
        <v>52.1</v>
      </c>
      <c r="J267" s="3">
        <v>47.87</v>
      </c>
      <c r="K267" s="5">
        <f t="shared" si="29"/>
        <v>0</v>
      </c>
      <c r="M267" t="s">
        <v>805</v>
      </c>
      <c r="N267">
        <f t="shared" si="28"/>
        <v>4</v>
      </c>
      <c r="O267" t="str">
        <f t="shared" si="30"/>
        <v>Valid</v>
      </c>
      <c r="P267" s="1" t="str">
        <f>IF(N267&gt;=(VLOOKUP(B267,Lembar2!$B$19:$C$24,2,FALSE)+7),"Delayed","Ontime")</f>
        <v>Ontime</v>
      </c>
      <c r="Q267" s="3">
        <f t="shared" si="31"/>
        <v>81797</v>
      </c>
      <c r="R267" s="3">
        <f t="shared" si="32"/>
        <v>75155.899999999994</v>
      </c>
      <c r="S267" s="3">
        <f t="shared" si="33"/>
        <v>6641.1000000000058</v>
      </c>
      <c r="T267">
        <f t="shared" si="34"/>
        <v>1</v>
      </c>
    </row>
    <row r="268" spans="1:20" x14ac:dyDescent="0.25">
      <c r="A268" t="s">
        <v>1071</v>
      </c>
      <c r="B268" t="s">
        <v>795</v>
      </c>
      <c r="C268" s="1">
        <v>45223</v>
      </c>
      <c r="D268" s="1">
        <f>IF(E268="",C268+VLOOKUP(B268,Lembar2!$B$19:$C$24,2,FALSE),'Procurement Dataset'!E268)</f>
        <v>45243</v>
      </c>
      <c r="E268" s="1">
        <v>45243</v>
      </c>
      <c r="F268" t="s">
        <v>799</v>
      </c>
      <c r="G268" t="s">
        <v>796</v>
      </c>
      <c r="H268" s="5">
        <v>491</v>
      </c>
      <c r="I268" s="3">
        <v>108.75</v>
      </c>
      <c r="J268" s="3">
        <v>93.35</v>
      </c>
      <c r="K268" s="5">
        <f t="shared" si="29"/>
        <v>0</v>
      </c>
      <c r="M268" t="s">
        <v>805</v>
      </c>
      <c r="N268">
        <f t="shared" si="28"/>
        <v>20</v>
      </c>
      <c r="O268" t="str">
        <f t="shared" si="30"/>
        <v>Valid</v>
      </c>
      <c r="P268" s="1" t="str">
        <f>IF(N268&gt;=(VLOOKUP(B268,Lembar2!$B$19:$C$24,2,FALSE)+7),"Delayed","Ontime")</f>
        <v>Delayed</v>
      </c>
      <c r="Q268" s="3">
        <f t="shared" si="31"/>
        <v>53396.25</v>
      </c>
      <c r="R268" s="3">
        <f t="shared" si="32"/>
        <v>45834.85</v>
      </c>
      <c r="S268" s="3">
        <f t="shared" si="33"/>
        <v>7561.4000000000015</v>
      </c>
      <c r="T268">
        <f t="shared" si="34"/>
        <v>0</v>
      </c>
    </row>
    <row r="269" spans="1:20" x14ac:dyDescent="0.25">
      <c r="A269" t="s">
        <v>1072</v>
      </c>
      <c r="B269" t="s">
        <v>801</v>
      </c>
      <c r="C269" s="1">
        <v>44662</v>
      </c>
      <c r="D269" s="1">
        <f>IF(E269="",C269+VLOOKUP(B269,Lembar2!$B$19:$C$24,2,FALSE),'Procurement Dataset'!E269)</f>
        <v>44671</v>
      </c>
      <c r="E269" s="1">
        <v>44671</v>
      </c>
      <c r="F269" t="s">
        <v>817</v>
      </c>
      <c r="G269" t="s">
        <v>811</v>
      </c>
      <c r="H269" s="5">
        <v>613</v>
      </c>
      <c r="I269" s="3">
        <v>20.38</v>
      </c>
      <c r="J269" s="3">
        <v>20.170000000000002</v>
      </c>
      <c r="K269" s="5">
        <f t="shared" si="29"/>
        <v>58</v>
      </c>
      <c r="L269">
        <v>58</v>
      </c>
      <c r="M269" t="s">
        <v>793</v>
      </c>
      <c r="N269">
        <f t="shared" si="28"/>
        <v>9</v>
      </c>
      <c r="O269" t="str">
        <f t="shared" si="30"/>
        <v>Valid</v>
      </c>
      <c r="P269" s="1" t="str">
        <f>IF(N269&gt;=(VLOOKUP(B269,Lembar2!$B$19:$C$24,2,FALSE)+7),"Delayed","Ontime")</f>
        <v>Ontime</v>
      </c>
      <c r="Q269" s="3">
        <f t="shared" si="31"/>
        <v>12492.939999999999</v>
      </c>
      <c r="R269" s="3">
        <f t="shared" si="32"/>
        <v>12364.210000000001</v>
      </c>
      <c r="S269" s="3">
        <f t="shared" si="33"/>
        <v>128.72999999999774</v>
      </c>
      <c r="T269">
        <f t="shared" si="34"/>
        <v>1</v>
      </c>
    </row>
    <row r="270" spans="1:20" x14ac:dyDescent="0.25">
      <c r="A270" t="s">
        <v>1073</v>
      </c>
      <c r="B270" t="s">
        <v>798</v>
      </c>
      <c r="C270" s="1">
        <v>44624</v>
      </c>
      <c r="D270" s="1">
        <f>IF(E270="",C270+VLOOKUP(B270,Lembar2!$B$19:$C$24,2,FALSE),'Procurement Dataset'!E270)</f>
        <v>44636</v>
      </c>
      <c r="E270" s="1">
        <v>44636</v>
      </c>
      <c r="F270" t="s">
        <v>804</v>
      </c>
      <c r="G270" t="s">
        <v>811</v>
      </c>
      <c r="H270" s="5">
        <v>1341</v>
      </c>
      <c r="I270" s="3">
        <v>46.27</v>
      </c>
      <c r="J270" s="3">
        <v>43.94</v>
      </c>
      <c r="K270" s="5">
        <f t="shared" si="29"/>
        <v>63</v>
      </c>
      <c r="L270">
        <v>63</v>
      </c>
      <c r="M270" t="s">
        <v>793</v>
      </c>
      <c r="N270">
        <f t="shared" si="28"/>
        <v>12</v>
      </c>
      <c r="O270" t="str">
        <f t="shared" si="30"/>
        <v>Valid</v>
      </c>
      <c r="P270" s="1" t="str">
        <f>IF(N270&gt;=(VLOOKUP(B270,Lembar2!$B$19:$C$24,2,FALSE)+7),"Delayed","Ontime")</f>
        <v>Ontime</v>
      </c>
      <c r="Q270" s="3">
        <f t="shared" si="31"/>
        <v>62048.070000000007</v>
      </c>
      <c r="R270" s="3">
        <f t="shared" si="32"/>
        <v>58923.539999999994</v>
      </c>
      <c r="S270" s="3">
        <f t="shared" si="33"/>
        <v>3124.5300000000134</v>
      </c>
      <c r="T270">
        <f t="shared" si="34"/>
        <v>1</v>
      </c>
    </row>
    <row r="271" spans="1:20" x14ac:dyDescent="0.25">
      <c r="A271" t="s">
        <v>1074</v>
      </c>
      <c r="B271" t="s">
        <v>801</v>
      </c>
      <c r="C271" s="1">
        <v>44974</v>
      </c>
      <c r="D271" s="1">
        <f>IF(E271="",C271+VLOOKUP(B271,Lembar2!$B$19:$C$24,2,FALSE),'Procurement Dataset'!E271)</f>
        <v>44989</v>
      </c>
      <c r="E271" s="1">
        <v>44989</v>
      </c>
      <c r="F271" t="s">
        <v>799</v>
      </c>
      <c r="G271" t="s">
        <v>811</v>
      </c>
      <c r="H271" s="5">
        <v>1583</v>
      </c>
      <c r="I271" s="3">
        <v>103.57</v>
      </c>
      <c r="J271" s="3">
        <v>89.38</v>
      </c>
      <c r="K271" s="5">
        <f t="shared" si="29"/>
        <v>164</v>
      </c>
      <c r="L271">
        <v>164</v>
      </c>
      <c r="M271" t="s">
        <v>793</v>
      </c>
      <c r="N271">
        <f t="shared" si="28"/>
        <v>15</v>
      </c>
      <c r="O271" t="str">
        <f t="shared" si="30"/>
        <v>Valid</v>
      </c>
      <c r="P271" s="1" t="str">
        <f>IF(N271&gt;=(VLOOKUP(B271,Lembar2!$B$19:$C$24,2,FALSE)+7),"Delayed","Ontime")</f>
        <v>Ontime</v>
      </c>
      <c r="Q271" s="3">
        <f t="shared" si="31"/>
        <v>163951.31</v>
      </c>
      <c r="R271" s="3">
        <f t="shared" si="32"/>
        <v>141488.53999999998</v>
      </c>
      <c r="S271" s="3">
        <f t="shared" si="33"/>
        <v>22462.770000000019</v>
      </c>
      <c r="T271">
        <f t="shared" si="34"/>
        <v>1</v>
      </c>
    </row>
    <row r="272" spans="1:20" x14ac:dyDescent="0.25">
      <c r="A272" t="s">
        <v>1075</v>
      </c>
      <c r="B272" t="s">
        <v>801</v>
      </c>
      <c r="C272" s="1">
        <v>44909</v>
      </c>
      <c r="D272" s="1">
        <f>IF(E272="",C272+VLOOKUP(B272,Lembar2!$B$19:$C$24,2,FALSE),'Procurement Dataset'!E272)</f>
        <v>44921</v>
      </c>
      <c r="F272" t="s">
        <v>804</v>
      </c>
      <c r="G272" t="s">
        <v>792</v>
      </c>
      <c r="H272" s="5">
        <v>1880</v>
      </c>
      <c r="I272" s="3">
        <v>92.73</v>
      </c>
      <c r="J272" s="3">
        <v>90.78</v>
      </c>
      <c r="K272" s="5">
        <f t="shared" si="29"/>
        <v>173</v>
      </c>
      <c r="L272">
        <v>173</v>
      </c>
      <c r="M272" t="s">
        <v>793</v>
      </c>
      <c r="N272" t="str">
        <f t="shared" si="28"/>
        <v/>
      </c>
      <c r="O272" t="str">
        <f t="shared" si="30"/>
        <v>Valid</v>
      </c>
      <c r="P272" s="1" t="str">
        <f>IF(N272&gt;=(VLOOKUP(B272,Lembar2!$B$19:$C$24,2,FALSE)+7),"Delayed","Ontime")</f>
        <v>Delayed</v>
      </c>
      <c r="Q272" s="3">
        <f t="shared" si="31"/>
        <v>174332.4</v>
      </c>
      <c r="R272" s="3">
        <f t="shared" si="32"/>
        <v>170666.4</v>
      </c>
      <c r="S272" s="3">
        <f t="shared" si="33"/>
        <v>3666</v>
      </c>
      <c r="T272">
        <f t="shared" si="34"/>
        <v>0</v>
      </c>
    </row>
    <row r="273" spans="1:20" x14ac:dyDescent="0.25">
      <c r="A273" t="s">
        <v>1076</v>
      </c>
      <c r="B273" t="s">
        <v>807</v>
      </c>
      <c r="C273" s="1">
        <v>44673</v>
      </c>
      <c r="D273" s="1">
        <f>IF(E273="",C273+VLOOKUP(B273,Lembar2!$B$19:$C$24,2,FALSE),'Procurement Dataset'!E273)</f>
        <v>44677</v>
      </c>
      <c r="E273" s="1">
        <v>44677</v>
      </c>
      <c r="F273" t="s">
        <v>799</v>
      </c>
      <c r="G273" t="s">
        <v>796</v>
      </c>
      <c r="H273" s="5">
        <v>1459</v>
      </c>
      <c r="I273" s="3">
        <v>84.79</v>
      </c>
      <c r="J273" s="3">
        <v>82.72</v>
      </c>
      <c r="K273" s="5">
        <f t="shared" si="29"/>
        <v>47</v>
      </c>
      <c r="L273">
        <v>47</v>
      </c>
      <c r="M273" t="s">
        <v>793</v>
      </c>
      <c r="N273">
        <f t="shared" si="28"/>
        <v>4</v>
      </c>
      <c r="O273" t="str">
        <f t="shared" si="30"/>
        <v>Valid</v>
      </c>
      <c r="P273" s="1" t="str">
        <f>IF(N273&gt;=(VLOOKUP(B273,Lembar2!$B$19:$C$24,2,FALSE)+7),"Delayed","Ontime")</f>
        <v>Ontime</v>
      </c>
      <c r="Q273" s="3">
        <f t="shared" si="31"/>
        <v>123708.61000000002</v>
      </c>
      <c r="R273" s="3">
        <f t="shared" si="32"/>
        <v>120688.48</v>
      </c>
      <c r="S273" s="3">
        <f t="shared" si="33"/>
        <v>3020.1300000000192</v>
      </c>
      <c r="T273">
        <f t="shared" si="34"/>
        <v>1</v>
      </c>
    </row>
    <row r="274" spans="1:20" x14ac:dyDescent="0.25">
      <c r="A274" t="s">
        <v>1077</v>
      </c>
      <c r="B274" t="s">
        <v>795</v>
      </c>
      <c r="C274" s="1">
        <v>44816</v>
      </c>
      <c r="D274" s="1">
        <f>IF(E274="",C274+VLOOKUP(B274,Lembar2!$B$19:$C$24,2,FALSE),'Procurement Dataset'!E274)</f>
        <v>44827</v>
      </c>
      <c r="F274" t="s">
        <v>791</v>
      </c>
      <c r="G274" t="s">
        <v>796</v>
      </c>
      <c r="H274" s="5">
        <v>1460</v>
      </c>
      <c r="I274" s="3">
        <v>34.54</v>
      </c>
      <c r="J274" s="3">
        <v>31.87</v>
      </c>
      <c r="K274" s="5">
        <f t="shared" si="29"/>
        <v>208</v>
      </c>
      <c r="L274">
        <v>208</v>
      </c>
      <c r="M274" t="s">
        <v>805</v>
      </c>
      <c r="N274" t="str">
        <f t="shared" si="28"/>
        <v/>
      </c>
      <c r="O274" t="str">
        <f t="shared" si="30"/>
        <v>Valid</v>
      </c>
      <c r="P274" s="1" t="str">
        <f>IF(N274&gt;=(VLOOKUP(B274,Lembar2!$B$19:$C$24,2,FALSE)+7),"Delayed","Ontime")</f>
        <v>Delayed</v>
      </c>
      <c r="Q274" s="3">
        <f t="shared" si="31"/>
        <v>50428.4</v>
      </c>
      <c r="R274" s="3">
        <f t="shared" si="32"/>
        <v>46530.200000000004</v>
      </c>
      <c r="S274" s="3">
        <f t="shared" si="33"/>
        <v>3898.1999999999971</v>
      </c>
      <c r="T274">
        <f t="shared" si="34"/>
        <v>0</v>
      </c>
    </row>
    <row r="275" spans="1:20" x14ac:dyDescent="0.25">
      <c r="A275" t="s">
        <v>1078</v>
      </c>
      <c r="B275" t="s">
        <v>801</v>
      </c>
      <c r="C275" s="1">
        <v>44758</v>
      </c>
      <c r="D275" s="1">
        <f>IF(E275="",C275+VLOOKUP(B275,Lembar2!$B$19:$C$24,2,FALSE),'Procurement Dataset'!E275)</f>
        <v>44770</v>
      </c>
      <c r="E275" s="1">
        <v>44770</v>
      </c>
      <c r="F275" t="s">
        <v>802</v>
      </c>
      <c r="G275" t="s">
        <v>811</v>
      </c>
      <c r="H275" s="5">
        <v>1186</v>
      </c>
      <c r="I275" s="3">
        <v>26.14</v>
      </c>
      <c r="J275" s="3">
        <v>24.78</v>
      </c>
      <c r="K275" s="5">
        <f t="shared" si="29"/>
        <v>112</v>
      </c>
      <c r="L275">
        <v>112</v>
      </c>
      <c r="M275" t="s">
        <v>793</v>
      </c>
      <c r="N275">
        <f t="shared" si="28"/>
        <v>12</v>
      </c>
      <c r="O275" t="str">
        <f t="shared" si="30"/>
        <v>Valid</v>
      </c>
      <c r="P275" s="1" t="str">
        <f>IF(N275&gt;=(VLOOKUP(B275,Lembar2!$B$19:$C$24,2,FALSE)+7),"Delayed","Ontime")</f>
        <v>Ontime</v>
      </c>
      <c r="Q275" s="3">
        <f t="shared" si="31"/>
        <v>31002.04</v>
      </c>
      <c r="R275" s="3">
        <f t="shared" si="32"/>
        <v>29389.08</v>
      </c>
      <c r="S275" s="3">
        <f t="shared" si="33"/>
        <v>1612.9599999999991</v>
      </c>
      <c r="T275">
        <f t="shared" si="34"/>
        <v>1</v>
      </c>
    </row>
    <row r="276" spans="1:20" x14ac:dyDescent="0.25">
      <c r="A276" t="s">
        <v>1079</v>
      </c>
      <c r="B276" t="s">
        <v>807</v>
      </c>
      <c r="C276" s="1">
        <v>44756</v>
      </c>
      <c r="D276" s="1">
        <f>IF(E276="",C276+VLOOKUP(B276,Lembar2!$B$19:$C$24,2,FALSE),'Procurement Dataset'!E276)</f>
        <v>44765</v>
      </c>
      <c r="E276" s="1">
        <v>44765</v>
      </c>
      <c r="F276" t="s">
        <v>799</v>
      </c>
      <c r="G276" t="s">
        <v>813</v>
      </c>
      <c r="H276" s="5">
        <v>1686</v>
      </c>
      <c r="I276" s="3">
        <v>72.28</v>
      </c>
      <c r="J276" s="3">
        <v>65.209999999999994</v>
      </c>
      <c r="K276" s="5">
        <f t="shared" si="29"/>
        <v>53</v>
      </c>
      <c r="L276">
        <v>53</v>
      </c>
      <c r="M276" t="s">
        <v>793</v>
      </c>
      <c r="N276">
        <f t="shared" si="28"/>
        <v>9</v>
      </c>
      <c r="O276" t="str">
        <f t="shared" si="30"/>
        <v>Valid</v>
      </c>
      <c r="P276" s="1" t="str">
        <f>IF(N276&gt;=(VLOOKUP(B276,Lembar2!$B$19:$C$24,2,FALSE)+7),"Delayed","Ontime")</f>
        <v>Ontime</v>
      </c>
      <c r="Q276" s="3">
        <f t="shared" si="31"/>
        <v>121864.08</v>
      </c>
      <c r="R276" s="3">
        <f t="shared" si="32"/>
        <v>109944.05999999998</v>
      </c>
      <c r="S276" s="3">
        <f t="shared" si="33"/>
        <v>11920.020000000019</v>
      </c>
      <c r="T276">
        <f t="shared" si="34"/>
        <v>1</v>
      </c>
    </row>
    <row r="277" spans="1:20" x14ac:dyDescent="0.25">
      <c r="A277" t="s">
        <v>1080</v>
      </c>
      <c r="B277" t="s">
        <v>790</v>
      </c>
      <c r="C277" s="1">
        <v>45111</v>
      </c>
      <c r="D277" s="1">
        <f>IF(E277="",C277+VLOOKUP(B277,Lembar2!$B$19:$C$24,2,FALSE),'Procurement Dataset'!E277)</f>
        <v>45115</v>
      </c>
      <c r="E277" s="1">
        <v>45115</v>
      </c>
      <c r="F277" t="s">
        <v>799</v>
      </c>
      <c r="G277" t="s">
        <v>796</v>
      </c>
      <c r="H277" s="5">
        <v>1698</v>
      </c>
      <c r="I277" s="3">
        <v>102.07</v>
      </c>
      <c r="J277" s="3">
        <v>100.69</v>
      </c>
      <c r="K277" s="5">
        <f t="shared" si="29"/>
        <v>28</v>
      </c>
      <c r="L277">
        <v>28</v>
      </c>
      <c r="M277" t="s">
        <v>793</v>
      </c>
      <c r="N277">
        <f t="shared" si="28"/>
        <v>4</v>
      </c>
      <c r="O277" t="str">
        <f t="shared" si="30"/>
        <v>Valid</v>
      </c>
      <c r="P277" s="1" t="str">
        <f>IF(N277&gt;=(VLOOKUP(B277,Lembar2!$B$19:$C$24,2,FALSE)+7),"Delayed","Ontime")</f>
        <v>Ontime</v>
      </c>
      <c r="Q277" s="3">
        <f t="shared" si="31"/>
        <v>173314.86</v>
      </c>
      <c r="R277" s="3">
        <f t="shared" si="32"/>
        <v>170971.62</v>
      </c>
      <c r="S277" s="3">
        <f t="shared" si="33"/>
        <v>2343.2399999999907</v>
      </c>
      <c r="T277">
        <f t="shared" si="34"/>
        <v>1</v>
      </c>
    </row>
    <row r="278" spans="1:20" x14ac:dyDescent="0.25">
      <c r="A278" t="s">
        <v>1081</v>
      </c>
      <c r="B278" t="s">
        <v>807</v>
      </c>
      <c r="C278" s="1">
        <v>45021</v>
      </c>
      <c r="D278" s="1">
        <f>IF(E278="",C278+VLOOKUP(B278,Lembar2!$B$19:$C$24,2,FALSE),'Procurement Dataset'!E278)</f>
        <v>45032</v>
      </c>
      <c r="F278" t="s">
        <v>817</v>
      </c>
      <c r="G278" t="s">
        <v>796</v>
      </c>
      <c r="H278" s="5">
        <v>1001</v>
      </c>
      <c r="I278" s="3">
        <v>64.62</v>
      </c>
      <c r="J278" s="3">
        <v>55.7</v>
      </c>
      <c r="K278" s="5">
        <f t="shared" si="29"/>
        <v>32</v>
      </c>
      <c r="L278">
        <v>32</v>
      </c>
      <c r="M278" t="s">
        <v>793</v>
      </c>
      <c r="N278" t="str">
        <f t="shared" si="28"/>
        <v/>
      </c>
      <c r="O278" t="str">
        <f t="shared" si="30"/>
        <v>Valid</v>
      </c>
      <c r="P278" s="1" t="str">
        <f>IF(N278&gt;=(VLOOKUP(B278,Lembar2!$B$19:$C$24,2,FALSE)+7),"Delayed","Ontime")</f>
        <v>Delayed</v>
      </c>
      <c r="Q278" s="3">
        <f t="shared" si="31"/>
        <v>64684.62</v>
      </c>
      <c r="R278" s="3">
        <f t="shared" si="32"/>
        <v>55755.700000000004</v>
      </c>
      <c r="S278" s="3">
        <f t="shared" si="33"/>
        <v>8928.9199999999983</v>
      </c>
      <c r="T278">
        <f t="shared" si="34"/>
        <v>0</v>
      </c>
    </row>
    <row r="279" spans="1:20" x14ac:dyDescent="0.25">
      <c r="A279" t="s">
        <v>1082</v>
      </c>
      <c r="B279" t="s">
        <v>790</v>
      </c>
      <c r="C279" s="1">
        <v>44705</v>
      </c>
      <c r="D279" s="1">
        <f>IF(E279="",C279+VLOOKUP(B279,Lembar2!$B$19:$C$24,2,FALSE),'Procurement Dataset'!E279)</f>
        <v>44708</v>
      </c>
      <c r="E279" s="1">
        <v>44708</v>
      </c>
      <c r="F279" t="s">
        <v>791</v>
      </c>
      <c r="G279" t="s">
        <v>796</v>
      </c>
      <c r="H279" s="5">
        <v>1154</v>
      </c>
      <c r="I279" s="3">
        <v>62.67</v>
      </c>
      <c r="J279" s="3">
        <v>54.11</v>
      </c>
      <c r="K279" s="5">
        <f t="shared" si="29"/>
        <v>25</v>
      </c>
      <c r="L279">
        <v>25</v>
      </c>
      <c r="M279" t="s">
        <v>793</v>
      </c>
      <c r="N279">
        <f t="shared" si="28"/>
        <v>3</v>
      </c>
      <c r="O279" t="str">
        <f t="shared" si="30"/>
        <v>Valid</v>
      </c>
      <c r="P279" s="1" t="str">
        <f>IF(N279&gt;=(VLOOKUP(B279,Lembar2!$B$19:$C$24,2,FALSE)+7),"Delayed","Ontime")</f>
        <v>Ontime</v>
      </c>
      <c r="Q279" s="3">
        <f t="shared" si="31"/>
        <v>72321.180000000008</v>
      </c>
      <c r="R279" s="3">
        <f t="shared" si="32"/>
        <v>62442.94</v>
      </c>
      <c r="S279" s="3">
        <f t="shared" si="33"/>
        <v>9878.2400000000052</v>
      </c>
      <c r="T279">
        <f t="shared" si="34"/>
        <v>1</v>
      </c>
    </row>
    <row r="280" spans="1:20" x14ac:dyDescent="0.25">
      <c r="A280" t="s">
        <v>1083</v>
      </c>
      <c r="B280" t="s">
        <v>790</v>
      </c>
      <c r="C280" s="1">
        <v>44994</v>
      </c>
      <c r="D280" s="1">
        <f>IF(E280="",C280+VLOOKUP(B280,Lembar2!$B$19:$C$24,2,FALSE),'Procurement Dataset'!E280)</f>
        <v>45014</v>
      </c>
      <c r="E280" s="1">
        <v>45014</v>
      </c>
      <c r="F280" t="s">
        <v>802</v>
      </c>
      <c r="G280" t="s">
        <v>792</v>
      </c>
      <c r="H280" s="5">
        <v>748</v>
      </c>
      <c r="I280" s="3">
        <v>37.659999999999997</v>
      </c>
      <c r="J280" s="3">
        <v>32.71</v>
      </c>
      <c r="K280" s="5">
        <f t="shared" si="29"/>
        <v>0</v>
      </c>
      <c r="M280" t="s">
        <v>805</v>
      </c>
      <c r="N280">
        <f t="shared" si="28"/>
        <v>20</v>
      </c>
      <c r="O280" t="str">
        <f t="shared" si="30"/>
        <v>Valid</v>
      </c>
      <c r="P280" s="1" t="str">
        <f>IF(N280&gt;=(VLOOKUP(B280,Lembar2!$B$19:$C$24,2,FALSE)+7),"Delayed","Ontime")</f>
        <v>Delayed</v>
      </c>
      <c r="Q280" s="3">
        <f t="shared" si="31"/>
        <v>28169.679999999997</v>
      </c>
      <c r="R280" s="3">
        <f t="shared" si="32"/>
        <v>24467.08</v>
      </c>
      <c r="S280" s="3">
        <f t="shared" si="33"/>
        <v>3702.5999999999949</v>
      </c>
      <c r="T280">
        <f t="shared" si="34"/>
        <v>0</v>
      </c>
    </row>
    <row r="281" spans="1:20" x14ac:dyDescent="0.25">
      <c r="A281" t="s">
        <v>1084</v>
      </c>
      <c r="B281" t="s">
        <v>790</v>
      </c>
      <c r="C281" s="1">
        <v>44749</v>
      </c>
      <c r="D281" s="1">
        <f>IF(E281="",C281+VLOOKUP(B281,Lembar2!$B$19:$C$24,2,FALSE),'Procurement Dataset'!E281)</f>
        <v>44760</v>
      </c>
      <c r="F281" t="s">
        <v>791</v>
      </c>
      <c r="G281" t="s">
        <v>796</v>
      </c>
      <c r="H281" s="5">
        <v>162</v>
      </c>
      <c r="I281" s="3">
        <v>81.63</v>
      </c>
      <c r="J281" s="3">
        <v>78.760000000000005</v>
      </c>
      <c r="K281" s="5">
        <f t="shared" si="29"/>
        <v>2</v>
      </c>
      <c r="L281">
        <v>2</v>
      </c>
      <c r="M281" t="s">
        <v>793</v>
      </c>
      <c r="N281" t="str">
        <f t="shared" si="28"/>
        <v/>
      </c>
      <c r="O281" t="str">
        <f t="shared" si="30"/>
        <v>Valid</v>
      </c>
      <c r="P281" s="1" t="str">
        <f>IF(N281&gt;=(VLOOKUP(B281,Lembar2!$B$19:$C$24,2,FALSE)+7),"Delayed","Ontime")</f>
        <v>Delayed</v>
      </c>
      <c r="Q281" s="3">
        <f t="shared" si="31"/>
        <v>13224.06</v>
      </c>
      <c r="R281" s="3">
        <f t="shared" si="32"/>
        <v>12759.12</v>
      </c>
      <c r="S281" s="3">
        <f t="shared" si="33"/>
        <v>464.93999999999869</v>
      </c>
      <c r="T281">
        <f t="shared" si="34"/>
        <v>0</v>
      </c>
    </row>
    <row r="282" spans="1:20" x14ac:dyDescent="0.25">
      <c r="A282" t="s">
        <v>1085</v>
      </c>
      <c r="B282" t="s">
        <v>790</v>
      </c>
      <c r="C282" s="1">
        <v>44847</v>
      </c>
      <c r="D282" s="1">
        <f>IF(E282="",C282+VLOOKUP(B282,Lembar2!$B$19:$C$24,2,FALSE),'Procurement Dataset'!E282)</f>
        <v>44858</v>
      </c>
      <c r="E282" s="1">
        <v>44858</v>
      </c>
      <c r="F282" t="s">
        <v>802</v>
      </c>
      <c r="G282" t="s">
        <v>796</v>
      </c>
      <c r="H282" s="5">
        <v>51</v>
      </c>
      <c r="I282" s="3">
        <v>28.04</v>
      </c>
      <c r="J282" s="3">
        <v>24.13</v>
      </c>
      <c r="K282" s="5">
        <f t="shared" si="29"/>
        <v>0</v>
      </c>
      <c r="L282">
        <v>0</v>
      </c>
      <c r="M282" t="s">
        <v>793</v>
      </c>
      <c r="N282">
        <f t="shared" si="28"/>
        <v>11</v>
      </c>
      <c r="O282" t="str">
        <f t="shared" si="30"/>
        <v>Valid</v>
      </c>
      <c r="P282" s="1" t="str">
        <f>IF(N282&gt;=(VLOOKUP(B282,Lembar2!$B$19:$C$24,2,FALSE)+7),"Delayed","Ontime")</f>
        <v>Ontime</v>
      </c>
      <c r="Q282" s="3">
        <f t="shared" si="31"/>
        <v>1430.04</v>
      </c>
      <c r="R282" s="3">
        <f t="shared" si="32"/>
        <v>1230.6299999999999</v>
      </c>
      <c r="S282" s="3">
        <f t="shared" si="33"/>
        <v>199.41000000000008</v>
      </c>
      <c r="T282">
        <f t="shared" si="34"/>
        <v>1</v>
      </c>
    </row>
    <row r="283" spans="1:20" x14ac:dyDescent="0.25">
      <c r="A283" t="s">
        <v>1086</v>
      </c>
      <c r="B283" t="s">
        <v>795</v>
      </c>
      <c r="C283" s="1">
        <v>45035</v>
      </c>
      <c r="D283" s="1">
        <f>IF(E283="",C283+VLOOKUP(B283,Lembar2!$B$19:$C$24,2,FALSE),'Procurement Dataset'!E283)</f>
        <v>45040</v>
      </c>
      <c r="E283" s="1">
        <v>45040</v>
      </c>
      <c r="F283" t="s">
        <v>791</v>
      </c>
      <c r="G283" t="s">
        <v>796</v>
      </c>
      <c r="H283" s="5">
        <v>691</v>
      </c>
      <c r="I283" s="3">
        <v>42.07</v>
      </c>
      <c r="J283" s="3">
        <v>39.1</v>
      </c>
      <c r="K283" s="5">
        <f t="shared" si="29"/>
        <v>106</v>
      </c>
      <c r="L283">
        <v>106</v>
      </c>
      <c r="M283" t="s">
        <v>793</v>
      </c>
      <c r="N283">
        <f t="shared" si="28"/>
        <v>5</v>
      </c>
      <c r="O283" t="str">
        <f t="shared" si="30"/>
        <v>Valid</v>
      </c>
      <c r="P283" s="1" t="str">
        <f>IF(N283&gt;=(VLOOKUP(B283,Lembar2!$B$19:$C$24,2,FALSE)+7),"Delayed","Ontime")</f>
        <v>Ontime</v>
      </c>
      <c r="Q283" s="3">
        <f t="shared" si="31"/>
        <v>29070.37</v>
      </c>
      <c r="R283" s="3">
        <f t="shared" si="32"/>
        <v>27018.100000000002</v>
      </c>
      <c r="S283" s="3">
        <f t="shared" si="33"/>
        <v>2052.2699999999968</v>
      </c>
      <c r="T283">
        <f t="shared" si="34"/>
        <v>1</v>
      </c>
    </row>
    <row r="284" spans="1:20" x14ac:dyDescent="0.25">
      <c r="A284" t="s">
        <v>1087</v>
      </c>
      <c r="B284" t="s">
        <v>801</v>
      </c>
      <c r="C284" s="1">
        <v>44817</v>
      </c>
      <c r="D284" s="1">
        <f>IF(E284="",C284+VLOOKUP(B284,Lembar2!$B$19:$C$24,2,FALSE),'Procurement Dataset'!E284)</f>
        <v>44824</v>
      </c>
      <c r="E284" s="1">
        <v>44824</v>
      </c>
      <c r="F284" t="s">
        <v>791</v>
      </c>
      <c r="G284" t="s">
        <v>796</v>
      </c>
      <c r="H284" s="5">
        <v>269</v>
      </c>
      <c r="I284" s="3">
        <v>50.22</v>
      </c>
      <c r="J284" s="3">
        <v>45.75</v>
      </c>
      <c r="K284" s="5">
        <f t="shared" si="29"/>
        <v>32</v>
      </c>
      <c r="L284">
        <v>32</v>
      </c>
      <c r="M284" t="s">
        <v>805</v>
      </c>
      <c r="N284">
        <f t="shared" si="28"/>
        <v>7</v>
      </c>
      <c r="O284" t="str">
        <f t="shared" si="30"/>
        <v>Valid</v>
      </c>
      <c r="P284" s="1" t="str">
        <f>IF(N284&gt;=(VLOOKUP(B284,Lembar2!$B$19:$C$24,2,FALSE)+7),"Delayed","Ontime")</f>
        <v>Ontime</v>
      </c>
      <c r="Q284" s="3">
        <f t="shared" si="31"/>
        <v>13509.18</v>
      </c>
      <c r="R284" s="3">
        <f t="shared" si="32"/>
        <v>12306.75</v>
      </c>
      <c r="S284" s="3">
        <f t="shared" si="33"/>
        <v>1202.4300000000003</v>
      </c>
      <c r="T284">
        <f t="shared" si="34"/>
        <v>1</v>
      </c>
    </row>
    <row r="285" spans="1:20" x14ac:dyDescent="0.25">
      <c r="A285" t="s">
        <v>1088</v>
      </c>
      <c r="B285" t="s">
        <v>801</v>
      </c>
      <c r="C285" s="1">
        <v>44639</v>
      </c>
      <c r="D285" s="1">
        <f>IF(E285="",C285+VLOOKUP(B285,Lembar2!$B$19:$C$24,2,FALSE),'Procurement Dataset'!E285)</f>
        <v>44657</v>
      </c>
      <c r="E285" s="1">
        <v>44657</v>
      </c>
      <c r="F285" t="s">
        <v>817</v>
      </c>
      <c r="G285" t="s">
        <v>813</v>
      </c>
      <c r="H285" s="5">
        <v>1639</v>
      </c>
      <c r="I285" s="3">
        <v>56.24</v>
      </c>
      <c r="J285" s="3">
        <v>55.4</v>
      </c>
      <c r="K285" s="5">
        <f t="shared" si="29"/>
        <v>147</v>
      </c>
      <c r="L285">
        <v>147</v>
      </c>
      <c r="M285" t="s">
        <v>793</v>
      </c>
      <c r="N285">
        <f t="shared" si="28"/>
        <v>18</v>
      </c>
      <c r="O285" t="str">
        <f t="shared" si="30"/>
        <v>Valid</v>
      </c>
      <c r="P285" s="1" t="str">
        <f>IF(N285&gt;=(VLOOKUP(B285,Lembar2!$B$19:$C$24,2,FALSE)+7),"Delayed","Ontime")</f>
        <v>Ontime</v>
      </c>
      <c r="Q285" s="3">
        <f t="shared" si="31"/>
        <v>92177.36</v>
      </c>
      <c r="R285" s="3">
        <f t="shared" si="32"/>
        <v>90800.599999999991</v>
      </c>
      <c r="S285" s="3">
        <f t="shared" si="33"/>
        <v>1376.7600000000093</v>
      </c>
      <c r="T285">
        <f t="shared" si="34"/>
        <v>1</v>
      </c>
    </row>
    <row r="286" spans="1:20" x14ac:dyDescent="0.25">
      <c r="A286" t="s">
        <v>1089</v>
      </c>
      <c r="B286" t="s">
        <v>790</v>
      </c>
      <c r="C286" s="1">
        <v>45015</v>
      </c>
      <c r="D286" s="1">
        <f>IF(E286="",C286+VLOOKUP(B286,Lembar2!$B$19:$C$24,2,FALSE),'Procurement Dataset'!E286)</f>
        <v>45022</v>
      </c>
      <c r="E286" s="1">
        <v>45022</v>
      </c>
      <c r="F286" t="s">
        <v>804</v>
      </c>
      <c r="G286" t="s">
        <v>796</v>
      </c>
      <c r="H286" s="5">
        <v>904</v>
      </c>
      <c r="I286" s="3">
        <v>34.04</v>
      </c>
      <c r="J286" s="3">
        <v>30.06</v>
      </c>
      <c r="K286" s="5">
        <f t="shared" si="29"/>
        <v>26</v>
      </c>
      <c r="L286">
        <v>26</v>
      </c>
      <c r="M286" t="s">
        <v>793</v>
      </c>
      <c r="N286">
        <f t="shared" si="28"/>
        <v>7</v>
      </c>
      <c r="O286" t="str">
        <f t="shared" si="30"/>
        <v>Valid</v>
      </c>
      <c r="P286" s="1" t="str">
        <f>IF(N286&gt;=(VLOOKUP(B286,Lembar2!$B$19:$C$24,2,FALSE)+7),"Delayed","Ontime")</f>
        <v>Ontime</v>
      </c>
      <c r="Q286" s="3">
        <f t="shared" si="31"/>
        <v>30772.16</v>
      </c>
      <c r="R286" s="3">
        <f t="shared" si="32"/>
        <v>27174.239999999998</v>
      </c>
      <c r="S286" s="3">
        <f t="shared" si="33"/>
        <v>3597.9200000000019</v>
      </c>
      <c r="T286">
        <f t="shared" si="34"/>
        <v>1</v>
      </c>
    </row>
    <row r="287" spans="1:20" x14ac:dyDescent="0.25">
      <c r="A287" t="s">
        <v>1090</v>
      </c>
      <c r="B287" t="s">
        <v>801</v>
      </c>
      <c r="C287" s="1">
        <v>45125</v>
      </c>
      <c r="D287" s="1">
        <f>IF(E287="",C287+VLOOKUP(B287,Lembar2!$B$19:$C$24,2,FALSE),'Procurement Dataset'!E287)</f>
        <v>45133</v>
      </c>
      <c r="E287" s="1">
        <v>45133</v>
      </c>
      <c r="F287" t="s">
        <v>791</v>
      </c>
      <c r="G287" t="s">
        <v>796</v>
      </c>
      <c r="H287" s="5">
        <v>1809</v>
      </c>
      <c r="I287" s="3">
        <v>22.17</v>
      </c>
      <c r="J287" s="3">
        <v>19.649999999999999</v>
      </c>
      <c r="K287" s="5">
        <f t="shared" si="29"/>
        <v>0</v>
      </c>
      <c r="M287" t="s">
        <v>793</v>
      </c>
      <c r="N287">
        <f t="shared" si="28"/>
        <v>8</v>
      </c>
      <c r="O287" t="str">
        <f t="shared" si="30"/>
        <v>Valid</v>
      </c>
      <c r="P287" s="1" t="str">
        <f>IF(N287&gt;=(VLOOKUP(B287,Lembar2!$B$19:$C$24,2,FALSE)+7),"Delayed","Ontime")</f>
        <v>Ontime</v>
      </c>
      <c r="Q287" s="3">
        <f t="shared" si="31"/>
        <v>40105.530000000006</v>
      </c>
      <c r="R287" s="3">
        <f t="shared" si="32"/>
        <v>35546.85</v>
      </c>
      <c r="S287" s="3">
        <f t="shared" si="33"/>
        <v>4558.6800000000076</v>
      </c>
      <c r="T287">
        <f t="shared" si="34"/>
        <v>1</v>
      </c>
    </row>
    <row r="288" spans="1:20" x14ac:dyDescent="0.25">
      <c r="A288" t="s">
        <v>1091</v>
      </c>
      <c r="B288" t="s">
        <v>790</v>
      </c>
      <c r="C288" s="1">
        <v>44662</v>
      </c>
      <c r="D288" s="1">
        <f>IF(E288="",C288+VLOOKUP(B288,Lembar2!$B$19:$C$24,2,FALSE),'Procurement Dataset'!E288)</f>
        <v>44667</v>
      </c>
      <c r="E288" s="1">
        <v>44667</v>
      </c>
      <c r="F288" t="s">
        <v>802</v>
      </c>
      <c r="G288" t="s">
        <v>796</v>
      </c>
      <c r="H288" s="5">
        <v>1298</v>
      </c>
      <c r="I288" s="3">
        <v>65.930000000000007</v>
      </c>
      <c r="J288" s="3">
        <v>58.95</v>
      </c>
      <c r="K288" s="5">
        <f t="shared" si="29"/>
        <v>0</v>
      </c>
      <c r="M288" t="s">
        <v>793</v>
      </c>
      <c r="N288">
        <f t="shared" si="28"/>
        <v>5</v>
      </c>
      <c r="O288" t="str">
        <f t="shared" si="30"/>
        <v>Valid</v>
      </c>
      <c r="P288" s="1" t="str">
        <f>IF(N288&gt;=(VLOOKUP(B288,Lembar2!$B$19:$C$24,2,FALSE)+7),"Delayed","Ontime")</f>
        <v>Ontime</v>
      </c>
      <c r="Q288" s="3">
        <f t="shared" si="31"/>
        <v>85577.140000000014</v>
      </c>
      <c r="R288" s="3">
        <f t="shared" si="32"/>
        <v>76517.100000000006</v>
      </c>
      <c r="S288" s="3">
        <f t="shared" si="33"/>
        <v>9060.0400000000081</v>
      </c>
      <c r="T288">
        <f t="shared" si="34"/>
        <v>1</v>
      </c>
    </row>
    <row r="289" spans="1:20" x14ac:dyDescent="0.25">
      <c r="A289" t="s">
        <v>1092</v>
      </c>
      <c r="B289" t="s">
        <v>801</v>
      </c>
      <c r="C289" s="1">
        <v>44613</v>
      </c>
      <c r="D289" s="1">
        <f>IF(E289="",C289+VLOOKUP(B289,Lembar2!$B$19:$C$24,2,FALSE),'Procurement Dataset'!E289)</f>
        <v>44633</v>
      </c>
      <c r="E289" s="1">
        <v>44633</v>
      </c>
      <c r="F289" t="s">
        <v>802</v>
      </c>
      <c r="G289" t="s">
        <v>796</v>
      </c>
      <c r="H289" s="5">
        <v>434</v>
      </c>
      <c r="I289" s="3">
        <v>36.159999999999997</v>
      </c>
      <c r="J289" s="3">
        <v>34.79</v>
      </c>
      <c r="K289" s="5">
        <f t="shared" si="29"/>
        <v>41</v>
      </c>
      <c r="L289">
        <v>41</v>
      </c>
      <c r="M289" t="s">
        <v>793</v>
      </c>
      <c r="N289">
        <f t="shared" si="28"/>
        <v>20</v>
      </c>
      <c r="O289" t="str">
        <f t="shared" si="30"/>
        <v>Valid</v>
      </c>
      <c r="P289" s="1" t="str">
        <f>IF(N289&gt;=(VLOOKUP(B289,Lembar2!$B$19:$C$24,2,FALSE)+7),"Delayed","Ontime")</f>
        <v>Delayed</v>
      </c>
      <c r="Q289" s="3">
        <f t="shared" si="31"/>
        <v>15693.439999999999</v>
      </c>
      <c r="R289" s="3">
        <f t="shared" si="32"/>
        <v>15098.859999999999</v>
      </c>
      <c r="S289" s="3">
        <f t="shared" si="33"/>
        <v>594.57999999999993</v>
      </c>
      <c r="T289">
        <f t="shared" si="34"/>
        <v>0</v>
      </c>
    </row>
    <row r="290" spans="1:20" x14ac:dyDescent="0.25">
      <c r="A290" t="s">
        <v>1093</v>
      </c>
      <c r="B290" t="s">
        <v>807</v>
      </c>
      <c r="C290" s="1">
        <v>45229</v>
      </c>
      <c r="D290" s="1">
        <f>IF(E290="",C290+VLOOKUP(B290,Lembar2!$B$19:$C$24,2,FALSE),'Procurement Dataset'!E290)</f>
        <v>45234</v>
      </c>
      <c r="E290" s="1">
        <v>45234</v>
      </c>
      <c r="F290" t="s">
        <v>817</v>
      </c>
      <c r="G290" t="s">
        <v>796</v>
      </c>
      <c r="H290" s="5">
        <v>1476</v>
      </c>
      <c r="I290" s="3">
        <v>68.849999999999994</v>
      </c>
      <c r="J290" s="3">
        <v>65.28</v>
      </c>
      <c r="K290" s="5">
        <f t="shared" si="29"/>
        <v>43</v>
      </c>
      <c r="L290">
        <v>43</v>
      </c>
      <c r="M290" t="s">
        <v>793</v>
      </c>
      <c r="N290">
        <f t="shared" si="28"/>
        <v>5</v>
      </c>
      <c r="O290" t="str">
        <f t="shared" si="30"/>
        <v>Valid</v>
      </c>
      <c r="P290" s="1" t="str">
        <f>IF(N290&gt;=(VLOOKUP(B290,Lembar2!$B$19:$C$24,2,FALSE)+7),"Delayed","Ontime")</f>
        <v>Ontime</v>
      </c>
      <c r="Q290" s="3">
        <f t="shared" si="31"/>
        <v>101622.59999999999</v>
      </c>
      <c r="R290" s="3">
        <f t="shared" si="32"/>
        <v>96353.279999999999</v>
      </c>
      <c r="S290" s="3">
        <f t="shared" si="33"/>
        <v>5269.3199999999924</v>
      </c>
      <c r="T290">
        <f t="shared" si="34"/>
        <v>1</v>
      </c>
    </row>
    <row r="291" spans="1:20" x14ac:dyDescent="0.25">
      <c r="A291" t="s">
        <v>1094</v>
      </c>
      <c r="B291" t="s">
        <v>795</v>
      </c>
      <c r="C291" s="1">
        <v>45115</v>
      </c>
      <c r="D291" s="1">
        <f>IF(E291="",C291+VLOOKUP(B291,Lembar2!$B$19:$C$24,2,FALSE),'Procurement Dataset'!E291)</f>
        <v>45126</v>
      </c>
      <c r="F291" t="s">
        <v>804</v>
      </c>
      <c r="G291" t="s">
        <v>811</v>
      </c>
      <c r="H291" s="5">
        <v>1711</v>
      </c>
      <c r="I291" s="3">
        <v>26.04</v>
      </c>
      <c r="J291" s="3">
        <v>24.81</v>
      </c>
      <c r="K291" s="5">
        <f t="shared" si="29"/>
        <v>290</v>
      </c>
      <c r="L291">
        <v>290</v>
      </c>
      <c r="M291" t="s">
        <v>793</v>
      </c>
      <c r="N291" t="str">
        <f t="shared" si="28"/>
        <v/>
      </c>
      <c r="O291" t="str">
        <f t="shared" si="30"/>
        <v>Valid</v>
      </c>
      <c r="P291" s="1" t="str">
        <f>IF(N291&gt;=(VLOOKUP(B291,Lembar2!$B$19:$C$24,2,FALSE)+7),"Delayed","Ontime")</f>
        <v>Delayed</v>
      </c>
      <c r="Q291" s="3">
        <f t="shared" si="31"/>
        <v>44554.439999999995</v>
      </c>
      <c r="R291" s="3">
        <f t="shared" si="32"/>
        <v>42449.909999999996</v>
      </c>
      <c r="S291" s="3">
        <f t="shared" si="33"/>
        <v>2104.5299999999988</v>
      </c>
      <c r="T291">
        <f t="shared" si="34"/>
        <v>0</v>
      </c>
    </row>
    <row r="292" spans="1:20" x14ac:dyDescent="0.25">
      <c r="A292" t="s">
        <v>1095</v>
      </c>
      <c r="B292" t="s">
        <v>798</v>
      </c>
      <c r="C292" s="1">
        <v>44577</v>
      </c>
      <c r="D292" s="1">
        <f>IF(E292="",C292+VLOOKUP(B292,Lembar2!$B$19:$C$24,2,FALSE),'Procurement Dataset'!E292)</f>
        <v>44583</v>
      </c>
      <c r="E292" s="1">
        <v>44583</v>
      </c>
      <c r="F292" t="s">
        <v>802</v>
      </c>
      <c r="G292" t="s">
        <v>796</v>
      </c>
      <c r="H292" s="5">
        <v>1203</v>
      </c>
      <c r="I292" s="3">
        <v>53.3</v>
      </c>
      <c r="J292" s="3">
        <v>47.68</v>
      </c>
      <c r="K292" s="5">
        <f t="shared" si="29"/>
        <v>49</v>
      </c>
      <c r="L292">
        <v>49</v>
      </c>
      <c r="M292" t="s">
        <v>793</v>
      </c>
      <c r="N292">
        <f t="shared" si="28"/>
        <v>6</v>
      </c>
      <c r="O292" t="str">
        <f t="shared" si="30"/>
        <v>Valid</v>
      </c>
      <c r="P292" s="1" t="str">
        <f>IF(N292&gt;=(VLOOKUP(B292,Lembar2!$B$19:$C$24,2,FALSE)+7),"Delayed","Ontime")</f>
        <v>Ontime</v>
      </c>
      <c r="Q292" s="3">
        <f t="shared" si="31"/>
        <v>64119.899999999994</v>
      </c>
      <c r="R292" s="3">
        <f t="shared" si="32"/>
        <v>57359.040000000001</v>
      </c>
      <c r="S292" s="3">
        <f t="shared" si="33"/>
        <v>6760.8599999999933</v>
      </c>
      <c r="T292">
        <f t="shared" si="34"/>
        <v>1</v>
      </c>
    </row>
    <row r="293" spans="1:20" x14ac:dyDescent="0.25">
      <c r="A293" t="s">
        <v>1096</v>
      </c>
      <c r="B293" t="s">
        <v>790</v>
      </c>
      <c r="C293" s="1">
        <v>44657</v>
      </c>
      <c r="D293" s="1">
        <f>IF(E293="",C293+VLOOKUP(B293,Lembar2!$B$19:$C$24,2,FALSE),'Procurement Dataset'!E293)</f>
        <v>44658</v>
      </c>
      <c r="E293" s="1">
        <v>44658</v>
      </c>
      <c r="F293" t="s">
        <v>817</v>
      </c>
      <c r="G293" t="s">
        <v>796</v>
      </c>
      <c r="H293" s="5">
        <v>1126</v>
      </c>
      <c r="I293" s="3">
        <v>58.8</v>
      </c>
      <c r="J293" s="3">
        <v>52.22</v>
      </c>
      <c r="K293" s="5">
        <f t="shared" si="29"/>
        <v>0</v>
      </c>
      <c r="M293" t="s">
        <v>793</v>
      </c>
      <c r="N293">
        <f t="shared" si="28"/>
        <v>1</v>
      </c>
      <c r="O293" t="str">
        <f t="shared" si="30"/>
        <v>Valid</v>
      </c>
      <c r="P293" s="1" t="str">
        <f>IF(N293&gt;=(VLOOKUP(B293,Lembar2!$B$19:$C$24,2,FALSE)+7),"Delayed","Ontime")</f>
        <v>Ontime</v>
      </c>
      <c r="Q293" s="3">
        <f t="shared" si="31"/>
        <v>66208.800000000003</v>
      </c>
      <c r="R293" s="3">
        <f t="shared" si="32"/>
        <v>58799.72</v>
      </c>
      <c r="S293" s="3">
        <f t="shared" si="33"/>
        <v>7409.0800000000017</v>
      </c>
      <c r="T293">
        <f t="shared" si="34"/>
        <v>1</v>
      </c>
    </row>
    <row r="294" spans="1:20" x14ac:dyDescent="0.25">
      <c r="A294" t="s">
        <v>1097</v>
      </c>
      <c r="B294" t="s">
        <v>807</v>
      </c>
      <c r="C294" s="1">
        <v>44804</v>
      </c>
      <c r="D294" s="1">
        <f>IF(E294="",C294+VLOOKUP(B294,Lembar2!$B$19:$C$24,2,FALSE),'Procurement Dataset'!E294)</f>
        <v>44816</v>
      </c>
      <c r="E294" s="1">
        <v>44816</v>
      </c>
      <c r="F294" t="s">
        <v>802</v>
      </c>
      <c r="G294" t="s">
        <v>796</v>
      </c>
      <c r="H294" s="5">
        <v>1757</v>
      </c>
      <c r="I294" s="3">
        <v>15.18</v>
      </c>
      <c r="J294" s="3">
        <v>13.06</v>
      </c>
      <c r="K294" s="5">
        <f t="shared" si="29"/>
        <v>63</v>
      </c>
      <c r="L294">
        <v>63</v>
      </c>
      <c r="M294" t="s">
        <v>793</v>
      </c>
      <c r="N294">
        <f t="shared" si="28"/>
        <v>12</v>
      </c>
      <c r="O294" t="str">
        <f t="shared" si="30"/>
        <v>Valid</v>
      </c>
      <c r="P294" s="1" t="str">
        <f>IF(N294&gt;=(VLOOKUP(B294,Lembar2!$B$19:$C$24,2,FALSE)+7),"Delayed","Ontime")</f>
        <v>Ontime</v>
      </c>
      <c r="Q294" s="3">
        <f t="shared" si="31"/>
        <v>26671.26</v>
      </c>
      <c r="R294" s="3">
        <f t="shared" si="32"/>
        <v>22946.420000000002</v>
      </c>
      <c r="S294" s="3">
        <f t="shared" si="33"/>
        <v>3724.8399999999965</v>
      </c>
      <c r="T294">
        <f t="shared" si="34"/>
        <v>1</v>
      </c>
    </row>
    <row r="295" spans="1:20" x14ac:dyDescent="0.25">
      <c r="A295" t="s">
        <v>1098</v>
      </c>
      <c r="B295" t="s">
        <v>807</v>
      </c>
      <c r="C295" s="1">
        <v>44732</v>
      </c>
      <c r="D295" s="1">
        <f>IF(E295="",C295+VLOOKUP(B295,Lembar2!$B$19:$C$24,2,FALSE),'Procurement Dataset'!E295)</f>
        <v>44740</v>
      </c>
      <c r="E295" s="1">
        <v>44740</v>
      </c>
      <c r="F295" t="s">
        <v>799</v>
      </c>
      <c r="G295" t="s">
        <v>796</v>
      </c>
      <c r="H295" s="5">
        <v>779</v>
      </c>
      <c r="I295" s="3">
        <v>41.3</v>
      </c>
      <c r="J295" s="3">
        <v>36.28</v>
      </c>
      <c r="K295" s="5">
        <f t="shared" si="29"/>
        <v>20</v>
      </c>
      <c r="L295">
        <v>20</v>
      </c>
      <c r="M295" t="s">
        <v>793</v>
      </c>
      <c r="N295">
        <f t="shared" si="28"/>
        <v>8</v>
      </c>
      <c r="O295" t="str">
        <f t="shared" si="30"/>
        <v>Valid</v>
      </c>
      <c r="P295" s="1" t="str">
        <f>IF(N295&gt;=(VLOOKUP(B295,Lembar2!$B$19:$C$24,2,FALSE)+7),"Delayed","Ontime")</f>
        <v>Ontime</v>
      </c>
      <c r="Q295" s="3">
        <f t="shared" si="31"/>
        <v>32172.699999999997</v>
      </c>
      <c r="R295" s="3">
        <f t="shared" si="32"/>
        <v>28262.120000000003</v>
      </c>
      <c r="S295" s="3">
        <f t="shared" si="33"/>
        <v>3910.5799999999945</v>
      </c>
      <c r="T295">
        <f t="shared" si="34"/>
        <v>1</v>
      </c>
    </row>
    <row r="296" spans="1:20" x14ac:dyDescent="0.25">
      <c r="A296" t="s">
        <v>1099</v>
      </c>
      <c r="B296" t="s">
        <v>795</v>
      </c>
      <c r="C296" s="1">
        <v>44978</v>
      </c>
      <c r="D296" s="1">
        <f>IF(E296="",C296+VLOOKUP(B296,Lembar2!$B$19:$C$24,2,FALSE),'Procurement Dataset'!E296)</f>
        <v>44979</v>
      </c>
      <c r="E296" s="1">
        <v>44979</v>
      </c>
      <c r="F296" t="s">
        <v>791</v>
      </c>
      <c r="G296" t="s">
        <v>796</v>
      </c>
      <c r="H296" s="5">
        <v>1745</v>
      </c>
      <c r="I296" s="3">
        <v>23.53</v>
      </c>
      <c r="J296" s="3">
        <v>22.57</v>
      </c>
      <c r="K296" s="5">
        <f t="shared" si="29"/>
        <v>282</v>
      </c>
      <c r="L296">
        <v>282</v>
      </c>
      <c r="M296" t="s">
        <v>805</v>
      </c>
      <c r="N296">
        <f t="shared" si="28"/>
        <v>1</v>
      </c>
      <c r="O296" t="str">
        <f t="shared" si="30"/>
        <v>Valid</v>
      </c>
      <c r="P296" s="1" t="str">
        <f>IF(N296&gt;=(VLOOKUP(B296,Lembar2!$B$19:$C$24,2,FALSE)+7),"Delayed","Ontime")</f>
        <v>Ontime</v>
      </c>
      <c r="Q296" s="3">
        <f t="shared" si="31"/>
        <v>41059.85</v>
      </c>
      <c r="R296" s="3">
        <f t="shared" si="32"/>
        <v>39384.65</v>
      </c>
      <c r="S296" s="3">
        <f t="shared" si="33"/>
        <v>1675.1999999999971</v>
      </c>
      <c r="T296">
        <f t="shared" si="34"/>
        <v>1</v>
      </c>
    </row>
    <row r="297" spans="1:20" x14ac:dyDescent="0.25">
      <c r="A297" t="s">
        <v>1100</v>
      </c>
      <c r="B297" t="s">
        <v>795</v>
      </c>
      <c r="C297" s="1">
        <v>45059</v>
      </c>
      <c r="D297" s="1">
        <f>IF(E297="",C297+VLOOKUP(B297,Lembar2!$B$19:$C$24,2,FALSE),'Procurement Dataset'!E297)</f>
        <v>45061</v>
      </c>
      <c r="E297" s="1">
        <v>45061</v>
      </c>
      <c r="F297" t="s">
        <v>804</v>
      </c>
      <c r="G297" t="s">
        <v>796</v>
      </c>
      <c r="H297" s="5">
        <v>1783</v>
      </c>
      <c r="I297" s="3">
        <v>16.96</v>
      </c>
      <c r="J297" s="3">
        <v>15.8</v>
      </c>
      <c r="K297" s="5">
        <f t="shared" si="29"/>
        <v>295</v>
      </c>
      <c r="L297">
        <v>295</v>
      </c>
      <c r="M297" t="s">
        <v>793</v>
      </c>
      <c r="N297">
        <f t="shared" si="28"/>
        <v>2</v>
      </c>
      <c r="O297" t="str">
        <f t="shared" si="30"/>
        <v>Valid</v>
      </c>
      <c r="P297" s="1" t="str">
        <f>IF(N297&gt;=(VLOOKUP(B297,Lembar2!$B$19:$C$24,2,FALSE)+7),"Delayed","Ontime")</f>
        <v>Ontime</v>
      </c>
      <c r="Q297" s="3">
        <f t="shared" si="31"/>
        <v>30239.68</v>
      </c>
      <c r="R297" s="3">
        <f t="shared" si="32"/>
        <v>28171.4</v>
      </c>
      <c r="S297" s="3">
        <f t="shared" si="33"/>
        <v>2068.2799999999988</v>
      </c>
      <c r="T297">
        <f t="shared" si="34"/>
        <v>1</v>
      </c>
    </row>
    <row r="298" spans="1:20" x14ac:dyDescent="0.25">
      <c r="A298" t="s">
        <v>1101</v>
      </c>
      <c r="B298" t="s">
        <v>790</v>
      </c>
      <c r="C298" s="1">
        <v>45054</v>
      </c>
      <c r="D298" s="1">
        <f>IF(E298="",C298+VLOOKUP(B298,Lembar2!$B$19:$C$24,2,FALSE),'Procurement Dataset'!E298)</f>
        <v>45068</v>
      </c>
      <c r="E298" s="1">
        <v>45068</v>
      </c>
      <c r="F298" t="s">
        <v>791</v>
      </c>
      <c r="G298" t="s">
        <v>811</v>
      </c>
      <c r="H298" s="5">
        <v>1489</v>
      </c>
      <c r="I298" s="3">
        <v>107.02</v>
      </c>
      <c r="J298" s="3">
        <v>93.3</v>
      </c>
      <c r="K298" s="5">
        <f t="shared" si="29"/>
        <v>0</v>
      </c>
      <c r="M298" t="s">
        <v>793</v>
      </c>
      <c r="N298">
        <f t="shared" si="28"/>
        <v>14</v>
      </c>
      <c r="O298" t="str">
        <f t="shared" si="30"/>
        <v>Valid</v>
      </c>
      <c r="P298" s="1" t="str">
        <f>IF(N298&gt;=(VLOOKUP(B298,Lembar2!$B$19:$C$24,2,FALSE)+7),"Delayed","Ontime")</f>
        <v>Ontime</v>
      </c>
      <c r="Q298" s="3">
        <f t="shared" si="31"/>
        <v>159352.78</v>
      </c>
      <c r="R298" s="3">
        <f t="shared" si="32"/>
        <v>138923.69999999998</v>
      </c>
      <c r="S298" s="3">
        <f t="shared" si="33"/>
        <v>20429.080000000016</v>
      </c>
      <c r="T298">
        <f t="shared" si="34"/>
        <v>1</v>
      </c>
    </row>
    <row r="299" spans="1:20" x14ac:dyDescent="0.25">
      <c r="A299" t="s">
        <v>1102</v>
      </c>
      <c r="B299" t="s">
        <v>790</v>
      </c>
      <c r="C299" s="1">
        <v>44780</v>
      </c>
      <c r="D299" s="1">
        <f>IF(E299="",C299+VLOOKUP(B299,Lembar2!$B$19:$C$24,2,FALSE),'Procurement Dataset'!E299)</f>
        <v>44783</v>
      </c>
      <c r="E299" s="1">
        <v>44783</v>
      </c>
      <c r="F299" t="s">
        <v>791</v>
      </c>
      <c r="G299" t="s">
        <v>796</v>
      </c>
      <c r="H299" s="5">
        <v>296</v>
      </c>
      <c r="I299" s="3">
        <v>40.380000000000003</v>
      </c>
      <c r="J299" s="3">
        <v>35.25</v>
      </c>
      <c r="K299" s="5">
        <f t="shared" si="29"/>
        <v>0</v>
      </c>
      <c r="M299" t="s">
        <v>793</v>
      </c>
      <c r="N299">
        <f t="shared" si="28"/>
        <v>3</v>
      </c>
      <c r="O299" t="str">
        <f t="shared" si="30"/>
        <v>Valid</v>
      </c>
      <c r="P299" s="1" t="str">
        <f>IF(N299&gt;=(VLOOKUP(B299,Lembar2!$B$19:$C$24,2,FALSE)+7),"Delayed","Ontime")</f>
        <v>Ontime</v>
      </c>
      <c r="Q299" s="3">
        <f t="shared" si="31"/>
        <v>11952.480000000001</v>
      </c>
      <c r="R299" s="3">
        <f t="shared" si="32"/>
        <v>10434</v>
      </c>
      <c r="S299" s="3">
        <f t="shared" si="33"/>
        <v>1518.4800000000014</v>
      </c>
      <c r="T299">
        <f t="shared" si="34"/>
        <v>1</v>
      </c>
    </row>
    <row r="300" spans="1:20" x14ac:dyDescent="0.25">
      <c r="A300" t="s">
        <v>1103</v>
      </c>
      <c r="B300" t="s">
        <v>807</v>
      </c>
      <c r="C300" s="1">
        <v>44972</v>
      </c>
      <c r="D300" s="1">
        <f>IF(E300="",C300+VLOOKUP(B300,Lembar2!$B$19:$C$24,2,FALSE),'Procurement Dataset'!E300)</f>
        <v>44984</v>
      </c>
      <c r="E300" s="1">
        <v>44984</v>
      </c>
      <c r="F300" t="s">
        <v>799</v>
      </c>
      <c r="G300" t="s">
        <v>796</v>
      </c>
      <c r="H300" s="5">
        <v>885</v>
      </c>
      <c r="I300" s="3">
        <v>88.28</v>
      </c>
      <c r="J300" s="3">
        <v>80.8</v>
      </c>
      <c r="K300" s="5">
        <f t="shared" si="29"/>
        <v>31</v>
      </c>
      <c r="L300">
        <v>31</v>
      </c>
      <c r="M300" t="s">
        <v>793</v>
      </c>
      <c r="N300">
        <f t="shared" si="28"/>
        <v>12</v>
      </c>
      <c r="O300" t="str">
        <f t="shared" si="30"/>
        <v>Valid</v>
      </c>
      <c r="P300" s="1" t="str">
        <f>IF(N300&gt;=(VLOOKUP(B300,Lembar2!$B$19:$C$24,2,FALSE)+7),"Delayed","Ontime")</f>
        <v>Ontime</v>
      </c>
      <c r="Q300" s="3">
        <f t="shared" si="31"/>
        <v>78127.8</v>
      </c>
      <c r="R300" s="3">
        <f t="shared" si="32"/>
        <v>71508</v>
      </c>
      <c r="S300" s="3">
        <f t="shared" si="33"/>
        <v>6619.8000000000029</v>
      </c>
      <c r="T300">
        <f t="shared" si="34"/>
        <v>1</v>
      </c>
    </row>
    <row r="301" spans="1:20" x14ac:dyDescent="0.25">
      <c r="A301" t="s">
        <v>1104</v>
      </c>
      <c r="B301" t="s">
        <v>807</v>
      </c>
      <c r="C301" s="1">
        <v>44622</v>
      </c>
      <c r="D301" s="1">
        <f>IF(E301="",C301+VLOOKUP(B301,Lembar2!$B$19:$C$24,2,FALSE),'Procurement Dataset'!E301)</f>
        <v>44626</v>
      </c>
      <c r="E301" s="1">
        <v>44626</v>
      </c>
      <c r="F301" t="s">
        <v>804</v>
      </c>
      <c r="G301" t="s">
        <v>813</v>
      </c>
      <c r="H301" s="5">
        <v>1512</v>
      </c>
      <c r="I301" s="3">
        <v>33.25</v>
      </c>
      <c r="J301" s="3">
        <v>30.15</v>
      </c>
      <c r="K301" s="5">
        <f t="shared" si="29"/>
        <v>53</v>
      </c>
      <c r="L301">
        <v>53</v>
      </c>
      <c r="M301" t="s">
        <v>793</v>
      </c>
      <c r="N301">
        <f t="shared" si="28"/>
        <v>4</v>
      </c>
      <c r="O301" t="str">
        <f t="shared" si="30"/>
        <v>Valid</v>
      </c>
      <c r="P301" s="1" t="str">
        <f>IF(N301&gt;=(VLOOKUP(B301,Lembar2!$B$19:$C$24,2,FALSE)+7),"Delayed","Ontime")</f>
        <v>Ontime</v>
      </c>
      <c r="Q301" s="3">
        <f t="shared" si="31"/>
        <v>50274</v>
      </c>
      <c r="R301" s="3">
        <f t="shared" si="32"/>
        <v>45586.799999999996</v>
      </c>
      <c r="S301" s="3">
        <f t="shared" si="33"/>
        <v>4687.2000000000044</v>
      </c>
      <c r="T301">
        <f t="shared" si="34"/>
        <v>1</v>
      </c>
    </row>
    <row r="302" spans="1:20" x14ac:dyDescent="0.25">
      <c r="A302" t="s">
        <v>1105</v>
      </c>
      <c r="B302" t="s">
        <v>795</v>
      </c>
      <c r="C302" s="1">
        <v>44730</v>
      </c>
      <c r="D302" s="1">
        <f>IF(E302="",C302+VLOOKUP(B302,Lembar2!$B$19:$C$24,2,FALSE),'Procurement Dataset'!E302)</f>
        <v>44738</v>
      </c>
      <c r="E302" s="1">
        <v>44738</v>
      </c>
      <c r="F302" t="s">
        <v>791</v>
      </c>
      <c r="G302" t="s">
        <v>796</v>
      </c>
      <c r="H302" s="5">
        <v>252</v>
      </c>
      <c r="I302" s="3">
        <v>73.12</v>
      </c>
      <c r="J302" s="3">
        <v>67.64</v>
      </c>
      <c r="K302" s="5">
        <f t="shared" si="29"/>
        <v>0</v>
      </c>
      <c r="M302" t="s">
        <v>805</v>
      </c>
      <c r="N302">
        <f t="shared" si="28"/>
        <v>8</v>
      </c>
      <c r="O302" t="str">
        <f t="shared" si="30"/>
        <v>Valid</v>
      </c>
      <c r="P302" s="1" t="str">
        <f>IF(N302&gt;=(VLOOKUP(B302,Lembar2!$B$19:$C$24,2,FALSE)+7),"Delayed","Ontime")</f>
        <v>Ontime</v>
      </c>
      <c r="Q302" s="3">
        <f t="shared" si="31"/>
        <v>18426.240000000002</v>
      </c>
      <c r="R302" s="3">
        <f t="shared" si="32"/>
        <v>17045.28</v>
      </c>
      <c r="S302" s="3">
        <f t="shared" si="33"/>
        <v>1380.9600000000028</v>
      </c>
      <c r="T302">
        <f t="shared" si="34"/>
        <v>1</v>
      </c>
    </row>
    <row r="303" spans="1:20" x14ac:dyDescent="0.25">
      <c r="A303" t="s">
        <v>1106</v>
      </c>
      <c r="B303" t="s">
        <v>790</v>
      </c>
      <c r="C303" s="1">
        <v>44950</v>
      </c>
      <c r="D303" s="1">
        <f>IF(E303="",C303+VLOOKUP(B303,Lembar2!$B$19:$C$24,2,FALSE),'Procurement Dataset'!E303)</f>
        <v>44961</v>
      </c>
      <c r="F303" t="s">
        <v>817</v>
      </c>
      <c r="G303" t="s">
        <v>792</v>
      </c>
      <c r="H303" s="5">
        <v>1257</v>
      </c>
      <c r="I303" s="3">
        <v>83.13</v>
      </c>
      <c r="J303" s="3">
        <v>81.89</v>
      </c>
      <c r="K303" s="5">
        <f t="shared" si="29"/>
        <v>30</v>
      </c>
      <c r="L303">
        <v>30</v>
      </c>
      <c r="M303" t="s">
        <v>793</v>
      </c>
      <c r="N303" t="str">
        <f t="shared" si="28"/>
        <v/>
      </c>
      <c r="O303" t="str">
        <f t="shared" si="30"/>
        <v>Valid</v>
      </c>
      <c r="P303" s="1" t="str">
        <f>IF(N303&gt;=(VLOOKUP(B303,Lembar2!$B$19:$C$24,2,FALSE)+7),"Delayed","Ontime")</f>
        <v>Delayed</v>
      </c>
      <c r="Q303" s="3">
        <f t="shared" si="31"/>
        <v>104494.40999999999</v>
      </c>
      <c r="R303" s="3">
        <f t="shared" si="32"/>
        <v>102935.73</v>
      </c>
      <c r="S303" s="3">
        <f t="shared" si="33"/>
        <v>1558.679999999993</v>
      </c>
      <c r="T303">
        <f t="shared" si="34"/>
        <v>0</v>
      </c>
    </row>
    <row r="304" spans="1:20" x14ac:dyDescent="0.25">
      <c r="A304" t="s">
        <v>1107</v>
      </c>
      <c r="B304" t="s">
        <v>790</v>
      </c>
      <c r="C304" s="1">
        <v>44564</v>
      </c>
      <c r="D304" s="1">
        <f>IF(E304="",C304+VLOOKUP(B304,Lembar2!$B$19:$C$24,2,FALSE),'Procurement Dataset'!E304)</f>
        <v>44581</v>
      </c>
      <c r="E304" s="1">
        <v>44581</v>
      </c>
      <c r="F304" t="s">
        <v>802</v>
      </c>
      <c r="G304" t="s">
        <v>796</v>
      </c>
      <c r="H304" s="5">
        <v>172</v>
      </c>
      <c r="I304" s="3">
        <v>63.61</v>
      </c>
      <c r="J304" s="3">
        <v>55.92</v>
      </c>
      <c r="K304" s="5">
        <f t="shared" si="29"/>
        <v>4</v>
      </c>
      <c r="L304">
        <v>4</v>
      </c>
      <c r="M304" t="s">
        <v>793</v>
      </c>
      <c r="N304">
        <f t="shared" si="28"/>
        <v>17</v>
      </c>
      <c r="O304" t="str">
        <f t="shared" si="30"/>
        <v>Valid</v>
      </c>
      <c r="P304" s="1" t="str">
        <f>IF(N304&gt;=(VLOOKUP(B304,Lembar2!$B$19:$C$24,2,FALSE)+7),"Delayed","Ontime")</f>
        <v>Ontime</v>
      </c>
      <c r="Q304" s="3">
        <f t="shared" si="31"/>
        <v>10940.92</v>
      </c>
      <c r="R304" s="3">
        <f t="shared" si="32"/>
        <v>9618.24</v>
      </c>
      <c r="S304" s="3">
        <f t="shared" si="33"/>
        <v>1322.6800000000003</v>
      </c>
      <c r="T304">
        <f t="shared" si="34"/>
        <v>1</v>
      </c>
    </row>
    <row r="305" spans="1:20" x14ac:dyDescent="0.25">
      <c r="A305" t="s">
        <v>1108</v>
      </c>
      <c r="B305" t="s">
        <v>807</v>
      </c>
      <c r="C305" s="1">
        <v>44961</v>
      </c>
      <c r="D305" s="1">
        <f>IF(E305="",C305+VLOOKUP(B305,Lembar2!$B$19:$C$24,2,FALSE),'Procurement Dataset'!E305)</f>
        <v>44962</v>
      </c>
      <c r="E305" s="1">
        <v>44962</v>
      </c>
      <c r="F305" t="s">
        <v>802</v>
      </c>
      <c r="G305" t="s">
        <v>813</v>
      </c>
      <c r="H305" s="5">
        <v>450</v>
      </c>
      <c r="I305" s="3">
        <v>55.85</v>
      </c>
      <c r="J305" s="3">
        <v>49.88</v>
      </c>
      <c r="K305" s="5">
        <f t="shared" si="29"/>
        <v>9</v>
      </c>
      <c r="L305">
        <v>9</v>
      </c>
      <c r="M305" t="s">
        <v>793</v>
      </c>
      <c r="N305">
        <f t="shared" si="28"/>
        <v>1</v>
      </c>
      <c r="O305" t="str">
        <f t="shared" si="30"/>
        <v>Valid</v>
      </c>
      <c r="P305" s="1" t="str">
        <f>IF(N305&gt;=(VLOOKUP(B305,Lembar2!$B$19:$C$24,2,FALSE)+7),"Delayed","Ontime")</f>
        <v>Ontime</v>
      </c>
      <c r="Q305" s="3">
        <f t="shared" si="31"/>
        <v>25132.5</v>
      </c>
      <c r="R305" s="3">
        <f t="shared" si="32"/>
        <v>22446</v>
      </c>
      <c r="S305" s="3">
        <f t="shared" si="33"/>
        <v>2686.5</v>
      </c>
      <c r="T305">
        <f t="shared" si="34"/>
        <v>1</v>
      </c>
    </row>
    <row r="306" spans="1:20" x14ac:dyDescent="0.25">
      <c r="A306" t="s">
        <v>1109</v>
      </c>
      <c r="B306" t="s">
        <v>798</v>
      </c>
      <c r="C306" s="1">
        <v>44833</v>
      </c>
      <c r="D306" s="1">
        <f>IF(E306="",C306+VLOOKUP(B306,Lembar2!$B$19:$C$24,2,FALSE),'Procurement Dataset'!E306)</f>
        <v>44849</v>
      </c>
      <c r="E306" s="1">
        <v>44849</v>
      </c>
      <c r="F306" t="s">
        <v>817</v>
      </c>
      <c r="G306" t="s">
        <v>796</v>
      </c>
      <c r="H306" s="5">
        <v>816</v>
      </c>
      <c r="I306" s="3">
        <v>48.95</v>
      </c>
      <c r="J306" s="3">
        <v>43.42</v>
      </c>
      <c r="K306" s="5">
        <f t="shared" si="29"/>
        <v>45</v>
      </c>
      <c r="L306">
        <v>45</v>
      </c>
      <c r="M306" t="s">
        <v>793</v>
      </c>
      <c r="N306">
        <f t="shared" si="28"/>
        <v>16</v>
      </c>
      <c r="O306" t="str">
        <f t="shared" si="30"/>
        <v>Valid</v>
      </c>
      <c r="P306" s="1" t="str">
        <f>IF(N306&gt;=(VLOOKUP(B306,Lembar2!$B$19:$C$24,2,FALSE)+7),"Delayed","Ontime")</f>
        <v>Ontime</v>
      </c>
      <c r="Q306" s="3">
        <f t="shared" si="31"/>
        <v>39943.200000000004</v>
      </c>
      <c r="R306" s="3">
        <f t="shared" si="32"/>
        <v>35430.720000000001</v>
      </c>
      <c r="S306" s="3">
        <f t="shared" si="33"/>
        <v>4512.4800000000032</v>
      </c>
      <c r="T306">
        <f t="shared" si="34"/>
        <v>1</v>
      </c>
    </row>
    <row r="307" spans="1:20" x14ac:dyDescent="0.25">
      <c r="A307" t="s">
        <v>1110</v>
      </c>
      <c r="B307" t="s">
        <v>807</v>
      </c>
      <c r="C307" s="1">
        <v>45027</v>
      </c>
      <c r="D307" s="1">
        <f>IF(E307="",C307+VLOOKUP(B307,Lembar2!$B$19:$C$24,2,FALSE),'Procurement Dataset'!E307)</f>
        <v>45041</v>
      </c>
      <c r="E307" s="1">
        <v>45041</v>
      </c>
      <c r="F307" t="s">
        <v>802</v>
      </c>
      <c r="G307" t="s">
        <v>796</v>
      </c>
      <c r="H307" s="5">
        <v>343</v>
      </c>
      <c r="I307" s="3">
        <v>44.5</v>
      </c>
      <c r="J307" s="3">
        <v>38.57</v>
      </c>
      <c r="K307" s="5">
        <f t="shared" si="29"/>
        <v>7</v>
      </c>
      <c r="L307">
        <v>7</v>
      </c>
      <c r="M307" t="s">
        <v>793</v>
      </c>
      <c r="N307">
        <f t="shared" si="28"/>
        <v>14</v>
      </c>
      <c r="O307" t="str">
        <f t="shared" si="30"/>
        <v>Valid</v>
      </c>
      <c r="P307" s="1" t="str">
        <f>IF(N307&gt;=(VLOOKUP(B307,Lembar2!$B$19:$C$24,2,FALSE)+7),"Delayed","Ontime")</f>
        <v>Ontime</v>
      </c>
      <c r="Q307" s="3">
        <f t="shared" si="31"/>
        <v>15263.5</v>
      </c>
      <c r="R307" s="3">
        <f t="shared" si="32"/>
        <v>13229.51</v>
      </c>
      <c r="S307" s="3">
        <f t="shared" si="33"/>
        <v>2033.9899999999998</v>
      </c>
      <c r="T307">
        <f t="shared" si="34"/>
        <v>1</v>
      </c>
    </row>
    <row r="308" spans="1:20" x14ac:dyDescent="0.25">
      <c r="A308" t="s">
        <v>1111</v>
      </c>
      <c r="B308" t="s">
        <v>798</v>
      </c>
      <c r="C308" s="1">
        <v>44854</v>
      </c>
      <c r="D308" s="1">
        <f>IF(E308="",C308+VLOOKUP(B308,Lembar2!$B$19:$C$24,2,FALSE),'Procurement Dataset'!E308)</f>
        <v>44870</v>
      </c>
      <c r="E308" s="1">
        <v>44870</v>
      </c>
      <c r="F308" t="s">
        <v>799</v>
      </c>
      <c r="G308" t="s">
        <v>796</v>
      </c>
      <c r="H308" s="5">
        <v>329</v>
      </c>
      <c r="I308" s="3">
        <v>97.87</v>
      </c>
      <c r="J308" s="3">
        <v>85.35</v>
      </c>
      <c r="K308" s="5">
        <f t="shared" si="29"/>
        <v>21</v>
      </c>
      <c r="L308">
        <v>21</v>
      </c>
      <c r="M308" t="s">
        <v>805</v>
      </c>
      <c r="N308">
        <f t="shared" si="28"/>
        <v>16</v>
      </c>
      <c r="O308" t="str">
        <f t="shared" si="30"/>
        <v>Valid</v>
      </c>
      <c r="P308" s="1" t="str">
        <f>IF(N308&gt;=(VLOOKUP(B308,Lembar2!$B$19:$C$24,2,FALSE)+7),"Delayed","Ontime")</f>
        <v>Ontime</v>
      </c>
      <c r="Q308" s="3">
        <f t="shared" si="31"/>
        <v>32199.230000000003</v>
      </c>
      <c r="R308" s="3">
        <f t="shared" si="32"/>
        <v>28080.149999999998</v>
      </c>
      <c r="S308" s="3">
        <f t="shared" si="33"/>
        <v>4119.0800000000054</v>
      </c>
      <c r="T308">
        <f t="shared" si="34"/>
        <v>1</v>
      </c>
    </row>
    <row r="309" spans="1:20" x14ac:dyDescent="0.25">
      <c r="A309" t="s">
        <v>1112</v>
      </c>
      <c r="B309" t="s">
        <v>790</v>
      </c>
      <c r="C309" s="1">
        <v>44995</v>
      </c>
      <c r="D309" s="1">
        <f>IF(E309="",C309+VLOOKUP(B309,Lembar2!$B$19:$C$24,2,FALSE),'Procurement Dataset'!E309)</f>
        <v>45010</v>
      </c>
      <c r="E309" s="1">
        <v>45010</v>
      </c>
      <c r="F309" t="s">
        <v>817</v>
      </c>
      <c r="G309" t="s">
        <v>796</v>
      </c>
      <c r="H309" s="5">
        <v>1910</v>
      </c>
      <c r="I309" s="3">
        <v>90.69</v>
      </c>
      <c r="J309" s="3">
        <v>85.8</v>
      </c>
      <c r="K309" s="5">
        <f t="shared" si="29"/>
        <v>0</v>
      </c>
      <c r="M309" t="s">
        <v>793</v>
      </c>
      <c r="N309">
        <f t="shared" si="28"/>
        <v>15</v>
      </c>
      <c r="O309" t="str">
        <f t="shared" si="30"/>
        <v>Valid</v>
      </c>
      <c r="P309" s="1" t="str">
        <f>IF(N309&gt;=(VLOOKUP(B309,Lembar2!$B$19:$C$24,2,FALSE)+7),"Delayed","Ontime")</f>
        <v>Ontime</v>
      </c>
      <c r="Q309" s="3">
        <f t="shared" si="31"/>
        <v>173217.9</v>
      </c>
      <c r="R309" s="3">
        <f t="shared" si="32"/>
        <v>163878</v>
      </c>
      <c r="S309" s="3">
        <f t="shared" si="33"/>
        <v>9339.8999999999942</v>
      </c>
      <c r="T309">
        <f t="shared" si="34"/>
        <v>1</v>
      </c>
    </row>
    <row r="310" spans="1:20" x14ac:dyDescent="0.25">
      <c r="A310" t="s">
        <v>1113</v>
      </c>
      <c r="B310" t="s">
        <v>807</v>
      </c>
      <c r="C310" s="1">
        <v>45275</v>
      </c>
      <c r="D310" s="1">
        <f>IF(E310="",C310+VLOOKUP(B310,Lembar2!$B$19:$C$24,2,FALSE),'Procurement Dataset'!E310)</f>
        <v>45278</v>
      </c>
      <c r="E310" s="1">
        <v>45278</v>
      </c>
      <c r="F310" t="s">
        <v>799</v>
      </c>
      <c r="G310" t="s">
        <v>796</v>
      </c>
      <c r="H310" s="5">
        <v>933</v>
      </c>
      <c r="I310" s="3">
        <v>107.99</v>
      </c>
      <c r="J310" s="3">
        <v>104.29</v>
      </c>
      <c r="K310" s="5">
        <f t="shared" si="29"/>
        <v>29</v>
      </c>
      <c r="L310">
        <v>29</v>
      </c>
      <c r="M310" t="s">
        <v>793</v>
      </c>
      <c r="N310">
        <f t="shared" si="28"/>
        <v>3</v>
      </c>
      <c r="O310" t="str">
        <f t="shared" si="30"/>
        <v>Valid</v>
      </c>
      <c r="P310" s="1" t="str">
        <f>IF(N310&gt;=(VLOOKUP(B310,Lembar2!$B$19:$C$24,2,FALSE)+7),"Delayed","Ontime")</f>
        <v>Ontime</v>
      </c>
      <c r="Q310" s="3">
        <f t="shared" si="31"/>
        <v>100754.67</v>
      </c>
      <c r="R310" s="3">
        <f t="shared" si="32"/>
        <v>97302.57</v>
      </c>
      <c r="S310" s="3">
        <f t="shared" si="33"/>
        <v>3452.0999999999913</v>
      </c>
      <c r="T310">
        <f t="shared" si="34"/>
        <v>1</v>
      </c>
    </row>
    <row r="311" spans="1:20" x14ac:dyDescent="0.25">
      <c r="A311" t="s">
        <v>1114</v>
      </c>
      <c r="B311" t="s">
        <v>795</v>
      </c>
      <c r="C311" s="1">
        <v>45131</v>
      </c>
      <c r="D311" s="1">
        <f>IF(E311="",C311+VLOOKUP(B311,Lembar2!$B$19:$C$24,2,FALSE),'Procurement Dataset'!E311)</f>
        <v>45136</v>
      </c>
      <c r="E311" s="1">
        <v>45136</v>
      </c>
      <c r="F311" t="s">
        <v>804</v>
      </c>
      <c r="G311" t="s">
        <v>796</v>
      </c>
      <c r="H311" s="5">
        <v>1683</v>
      </c>
      <c r="I311" s="3">
        <v>23.09</v>
      </c>
      <c r="J311" s="3">
        <v>21.88</v>
      </c>
      <c r="K311" s="5">
        <f t="shared" si="29"/>
        <v>253</v>
      </c>
      <c r="L311">
        <v>253</v>
      </c>
      <c r="M311" t="s">
        <v>793</v>
      </c>
      <c r="N311">
        <f t="shared" si="28"/>
        <v>5</v>
      </c>
      <c r="O311" t="str">
        <f t="shared" si="30"/>
        <v>Valid</v>
      </c>
      <c r="P311" s="1" t="str">
        <f>IF(N311&gt;=(VLOOKUP(B311,Lembar2!$B$19:$C$24,2,FALSE)+7),"Delayed","Ontime")</f>
        <v>Ontime</v>
      </c>
      <c r="Q311" s="3">
        <f t="shared" si="31"/>
        <v>38860.47</v>
      </c>
      <c r="R311" s="3">
        <f t="shared" si="32"/>
        <v>36824.04</v>
      </c>
      <c r="S311" s="3">
        <f t="shared" si="33"/>
        <v>2036.4300000000003</v>
      </c>
      <c r="T311">
        <f t="shared" si="34"/>
        <v>1</v>
      </c>
    </row>
    <row r="312" spans="1:20" x14ac:dyDescent="0.25">
      <c r="A312" t="s">
        <v>1115</v>
      </c>
      <c r="B312" t="s">
        <v>801</v>
      </c>
      <c r="C312" s="1">
        <v>45239</v>
      </c>
      <c r="D312" s="1">
        <f>IF(E312="",C312+VLOOKUP(B312,Lembar2!$B$19:$C$24,2,FALSE),'Procurement Dataset'!E312)</f>
        <v>45248</v>
      </c>
      <c r="E312" s="1">
        <v>45248</v>
      </c>
      <c r="F312" t="s">
        <v>802</v>
      </c>
      <c r="G312" t="s">
        <v>813</v>
      </c>
      <c r="H312" s="5">
        <v>247</v>
      </c>
      <c r="I312" s="3">
        <v>84.11</v>
      </c>
      <c r="J312" s="3">
        <v>71.97</v>
      </c>
      <c r="K312" s="5">
        <f t="shared" si="29"/>
        <v>0</v>
      </c>
      <c r="M312" t="s">
        <v>793</v>
      </c>
      <c r="N312">
        <f t="shared" si="28"/>
        <v>9</v>
      </c>
      <c r="O312" t="str">
        <f t="shared" si="30"/>
        <v>Valid</v>
      </c>
      <c r="P312" s="1" t="str">
        <f>IF(N312&gt;=(VLOOKUP(B312,Lembar2!$B$19:$C$24,2,FALSE)+7),"Delayed","Ontime")</f>
        <v>Ontime</v>
      </c>
      <c r="Q312" s="3">
        <f t="shared" si="31"/>
        <v>20775.169999999998</v>
      </c>
      <c r="R312" s="3">
        <f t="shared" si="32"/>
        <v>17776.59</v>
      </c>
      <c r="S312" s="3">
        <f t="shared" si="33"/>
        <v>2998.5799999999981</v>
      </c>
      <c r="T312">
        <f t="shared" si="34"/>
        <v>1</v>
      </c>
    </row>
    <row r="313" spans="1:20" x14ac:dyDescent="0.25">
      <c r="A313" t="s">
        <v>1116</v>
      </c>
      <c r="B313" t="s">
        <v>790</v>
      </c>
      <c r="C313" s="1">
        <v>45060</v>
      </c>
      <c r="D313" s="1">
        <f>IF(E313="",C313+VLOOKUP(B313,Lembar2!$B$19:$C$24,2,FALSE),'Procurement Dataset'!E313)</f>
        <v>45079</v>
      </c>
      <c r="E313" s="1">
        <v>45079</v>
      </c>
      <c r="F313" t="s">
        <v>799</v>
      </c>
      <c r="G313" t="s">
        <v>796</v>
      </c>
      <c r="H313" s="5">
        <v>1031</v>
      </c>
      <c r="I313" s="3">
        <v>102.01</v>
      </c>
      <c r="J313" s="3">
        <v>98.65</v>
      </c>
      <c r="K313" s="5">
        <f t="shared" si="29"/>
        <v>0</v>
      </c>
      <c r="M313" t="s">
        <v>793</v>
      </c>
      <c r="N313">
        <f t="shared" si="28"/>
        <v>19</v>
      </c>
      <c r="O313" t="str">
        <f t="shared" si="30"/>
        <v>Valid</v>
      </c>
      <c r="P313" s="1" t="str">
        <f>IF(N313&gt;=(VLOOKUP(B313,Lembar2!$B$19:$C$24,2,FALSE)+7),"Delayed","Ontime")</f>
        <v>Delayed</v>
      </c>
      <c r="Q313" s="3">
        <f t="shared" si="31"/>
        <v>105172.31000000001</v>
      </c>
      <c r="R313" s="3">
        <f t="shared" si="32"/>
        <v>101708.15000000001</v>
      </c>
      <c r="S313" s="3">
        <f t="shared" si="33"/>
        <v>3464.1600000000035</v>
      </c>
      <c r="T313">
        <f t="shared" si="34"/>
        <v>0</v>
      </c>
    </row>
    <row r="314" spans="1:20" x14ac:dyDescent="0.25">
      <c r="A314" t="s">
        <v>1117</v>
      </c>
      <c r="B314" t="s">
        <v>790</v>
      </c>
      <c r="C314" s="1">
        <v>44720</v>
      </c>
      <c r="D314" s="1">
        <f>IF(E314="",C314+VLOOKUP(B314,Lembar2!$B$19:$C$24,2,FALSE),'Procurement Dataset'!E314)</f>
        <v>44731</v>
      </c>
      <c r="E314" s="1">
        <v>44731</v>
      </c>
      <c r="F314" t="s">
        <v>802</v>
      </c>
      <c r="G314" t="s">
        <v>796</v>
      </c>
      <c r="H314" s="5">
        <v>1980</v>
      </c>
      <c r="I314" s="3">
        <v>26.97</v>
      </c>
      <c r="J314" s="3">
        <v>24.16</v>
      </c>
      <c r="K314" s="5">
        <f t="shared" si="29"/>
        <v>41</v>
      </c>
      <c r="L314">
        <v>41</v>
      </c>
      <c r="M314" t="s">
        <v>793</v>
      </c>
      <c r="N314">
        <f t="shared" si="28"/>
        <v>11</v>
      </c>
      <c r="O314" t="str">
        <f t="shared" si="30"/>
        <v>Valid</v>
      </c>
      <c r="P314" s="1" t="str">
        <f>IF(N314&gt;=(VLOOKUP(B314,Lembar2!$B$19:$C$24,2,FALSE)+7),"Delayed","Ontime")</f>
        <v>Ontime</v>
      </c>
      <c r="Q314" s="3">
        <f t="shared" si="31"/>
        <v>53400.6</v>
      </c>
      <c r="R314" s="3">
        <f t="shared" si="32"/>
        <v>47836.800000000003</v>
      </c>
      <c r="S314" s="3">
        <f t="shared" si="33"/>
        <v>5563.7999999999956</v>
      </c>
      <c r="T314">
        <f t="shared" si="34"/>
        <v>1</v>
      </c>
    </row>
    <row r="315" spans="1:20" x14ac:dyDescent="0.25">
      <c r="A315" t="s">
        <v>1118</v>
      </c>
      <c r="B315" t="s">
        <v>807</v>
      </c>
      <c r="C315" s="1">
        <v>44756</v>
      </c>
      <c r="D315" s="1">
        <f>IF(E315="",C315+VLOOKUP(B315,Lembar2!$B$19:$C$24,2,FALSE),'Procurement Dataset'!E315)</f>
        <v>44776</v>
      </c>
      <c r="E315" s="1">
        <v>44776</v>
      </c>
      <c r="F315" t="s">
        <v>804</v>
      </c>
      <c r="G315" t="s">
        <v>796</v>
      </c>
      <c r="H315" s="5">
        <v>1584</v>
      </c>
      <c r="I315" s="3">
        <v>16.46</v>
      </c>
      <c r="J315" s="3">
        <v>14.2</v>
      </c>
      <c r="K315" s="5">
        <f t="shared" si="29"/>
        <v>57</v>
      </c>
      <c r="L315">
        <v>57</v>
      </c>
      <c r="M315" t="s">
        <v>793</v>
      </c>
      <c r="N315">
        <f t="shared" si="28"/>
        <v>20</v>
      </c>
      <c r="O315" t="str">
        <f t="shared" si="30"/>
        <v>Valid</v>
      </c>
      <c r="P315" s="1" t="str">
        <f>IF(N315&gt;=(VLOOKUP(B315,Lembar2!$B$19:$C$24,2,FALSE)+7),"Delayed","Ontime")</f>
        <v>Delayed</v>
      </c>
      <c r="Q315" s="3">
        <f t="shared" si="31"/>
        <v>26072.640000000003</v>
      </c>
      <c r="R315" s="3">
        <f t="shared" si="32"/>
        <v>22492.799999999999</v>
      </c>
      <c r="S315" s="3">
        <f t="shared" si="33"/>
        <v>3579.8400000000038</v>
      </c>
      <c r="T315">
        <f t="shared" si="34"/>
        <v>0</v>
      </c>
    </row>
    <row r="316" spans="1:20" x14ac:dyDescent="0.25">
      <c r="A316" t="s">
        <v>1119</v>
      </c>
      <c r="B316" t="s">
        <v>801</v>
      </c>
      <c r="C316" s="1">
        <v>44865</v>
      </c>
      <c r="D316" s="1">
        <f>IF(E316="",C316+VLOOKUP(B316,Lembar2!$B$19:$C$24,2,FALSE),'Procurement Dataset'!E316)</f>
        <v>44880</v>
      </c>
      <c r="E316" s="1">
        <v>44880</v>
      </c>
      <c r="F316" t="s">
        <v>791</v>
      </c>
      <c r="G316" t="s">
        <v>796</v>
      </c>
      <c r="H316" s="5">
        <v>801</v>
      </c>
      <c r="I316" s="3">
        <v>80.150000000000006</v>
      </c>
      <c r="J316" s="3">
        <v>70.91</v>
      </c>
      <c r="K316" s="5">
        <f t="shared" si="29"/>
        <v>0</v>
      </c>
      <c r="M316" t="s">
        <v>793</v>
      </c>
      <c r="N316">
        <f t="shared" si="28"/>
        <v>15</v>
      </c>
      <c r="O316" t="str">
        <f t="shared" si="30"/>
        <v>Valid</v>
      </c>
      <c r="P316" s="1" t="str">
        <f>IF(N316&gt;=(VLOOKUP(B316,Lembar2!$B$19:$C$24,2,FALSE)+7),"Delayed","Ontime")</f>
        <v>Ontime</v>
      </c>
      <c r="Q316" s="3">
        <f t="shared" si="31"/>
        <v>64200.15</v>
      </c>
      <c r="R316" s="3">
        <f t="shared" si="32"/>
        <v>56798.909999999996</v>
      </c>
      <c r="S316" s="3">
        <f t="shared" si="33"/>
        <v>7401.2400000000052</v>
      </c>
      <c r="T316">
        <f t="shared" si="34"/>
        <v>1</v>
      </c>
    </row>
    <row r="317" spans="1:20" x14ac:dyDescent="0.25">
      <c r="A317" t="s">
        <v>1120</v>
      </c>
      <c r="B317" t="s">
        <v>801</v>
      </c>
      <c r="C317" s="1">
        <v>44784</v>
      </c>
      <c r="D317" s="1">
        <f>IF(E317="",C317+VLOOKUP(B317,Lembar2!$B$19:$C$24,2,FALSE),'Procurement Dataset'!E317)</f>
        <v>44798</v>
      </c>
      <c r="E317" s="1">
        <v>44798</v>
      </c>
      <c r="F317" t="s">
        <v>802</v>
      </c>
      <c r="G317" t="s">
        <v>796</v>
      </c>
      <c r="H317" s="5">
        <v>193</v>
      </c>
      <c r="I317" s="3">
        <v>63.86</v>
      </c>
      <c r="J317" s="3">
        <v>57.46</v>
      </c>
      <c r="K317" s="5">
        <f t="shared" si="29"/>
        <v>0</v>
      </c>
      <c r="M317" t="s">
        <v>793</v>
      </c>
      <c r="N317">
        <f t="shared" si="28"/>
        <v>14</v>
      </c>
      <c r="O317" t="str">
        <f t="shared" si="30"/>
        <v>Valid</v>
      </c>
      <c r="P317" s="1" t="str">
        <f>IF(N317&gt;=(VLOOKUP(B317,Lembar2!$B$19:$C$24,2,FALSE)+7),"Delayed","Ontime")</f>
        <v>Ontime</v>
      </c>
      <c r="Q317" s="3">
        <f t="shared" si="31"/>
        <v>12324.98</v>
      </c>
      <c r="R317" s="3">
        <f t="shared" si="32"/>
        <v>11089.78</v>
      </c>
      <c r="S317" s="3">
        <f t="shared" si="33"/>
        <v>1235.1999999999989</v>
      </c>
      <c r="T317">
        <f t="shared" si="34"/>
        <v>1</v>
      </c>
    </row>
    <row r="318" spans="1:20" x14ac:dyDescent="0.25">
      <c r="A318" t="s">
        <v>1121</v>
      </c>
      <c r="B318" t="s">
        <v>801</v>
      </c>
      <c r="C318" s="1">
        <v>44621</v>
      </c>
      <c r="D318" s="1">
        <f>IF(E318="",C318+VLOOKUP(B318,Lembar2!$B$19:$C$24,2,FALSE),'Procurement Dataset'!E318)</f>
        <v>44625</v>
      </c>
      <c r="E318" s="1">
        <v>44625</v>
      </c>
      <c r="F318" t="s">
        <v>804</v>
      </c>
      <c r="G318" t="s">
        <v>796</v>
      </c>
      <c r="H318" s="5">
        <v>658</v>
      </c>
      <c r="I318" s="3">
        <v>86.62</v>
      </c>
      <c r="J318" s="3">
        <v>79.849999999999994</v>
      </c>
      <c r="K318" s="5">
        <f t="shared" si="29"/>
        <v>72</v>
      </c>
      <c r="L318">
        <v>72</v>
      </c>
      <c r="M318" t="s">
        <v>793</v>
      </c>
      <c r="N318">
        <f t="shared" si="28"/>
        <v>4</v>
      </c>
      <c r="O318" t="str">
        <f t="shared" si="30"/>
        <v>Valid</v>
      </c>
      <c r="P318" s="1" t="str">
        <f>IF(N318&gt;=(VLOOKUP(B318,Lembar2!$B$19:$C$24,2,FALSE)+7),"Delayed","Ontime")</f>
        <v>Ontime</v>
      </c>
      <c r="Q318" s="3">
        <f t="shared" si="31"/>
        <v>56995.960000000006</v>
      </c>
      <c r="R318" s="3">
        <f t="shared" si="32"/>
        <v>52541.299999999996</v>
      </c>
      <c r="S318" s="3">
        <f t="shared" si="33"/>
        <v>4454.6600000000108</v>
      </c>
      <c r="T318">
        <f t="shared" si="34"/>
        <v>1</v>
      </c>
    </row>
    <row r="319" spans="1:20" x14ac:dyDescent="0.25">
      <c r="A319" t="s">
        <v>1122</v>
      </c>
      <c r="B319" t="s">
        <v>807</v>
      </c>
      <c r="C319" s="1">
        <v>45155</v>
      </c>
      <c r="D319" s="1">
        <f>IF(E319="",C319+VLOOKUP(B319,Lembar2!$B$19:$C$24,2,FALSE),'Procurement Dataset'!E319)</f>
        <v>45173</v>
      </c>
      <c r="E319" s="1">
        <v>45173</v>
      </c>
      <c r="F319" t="s">
        <v>817</v>
      </c>
      <c r="G319" t="s">
        <v>796</v>
      </c>
      <c r="H319" s="5">
        <v>1274</v>
      </c>
      <c r="I319" s="3">
        <v>24.72</v>
      </c>
      <c r="J319" s="3">
        <v>23.36</v>
      </c>
      <c r="K319" s="5">
        <f t="shared" si="29"/>
        <v>37</v>
      </c>
      <c r="L319">
        <v>37</v>
      </c>
      <c r="M319" t="s">
        <v>793</v>
      </c>
      <c r="N319">
        <f t="shared" si="28"/>
        <v>18</v>
      </c>
      <c r="O319" t="str">
        <f t="shared" si="30"/>
        <v>Valid</v>
      </c>
      <c r="P319" s="1" t="str">
        <f>IF(N319&gt;=(VLOOKUP(B319,Lembar2!$B$19:$C$24,2,FALSE)+7),"Delayed","Ontime")</f>
        <v>Delayed</v>
      </c>
      <c r="Q319" s="3">
        <f t="shared" si="31"/>
        <v>31493.279999999999</v>
      </c>
      <c r="R319" s="3">
        <f t="shared" si="32"/>
        <v>29760.639999999999</v>
      </c>
      <c r="S319" s="3">
        <f t="shared" si="33"/>
        <v>1732.6399999999994</v>
      </c>
      <c r="T319">
        <f t="shared" si="34"/>
        <v>0</v>
      </c>
    </row>
    <row r="320" spans="1:20" x14ac:dyDescent="0.25">
      <c r="A320" t="s">
        <v>1123</v>
      </c>
      <c r="B320" t="s">
        <v>807</v>
      </c>
      <c r="C320" s="1">
        <v>45117</v>
      </c>
      <c r="D320" s="1">
        <f>IF(E320="",C320+VLOOKUP(B320,Lembar2!$B$19:$C$24,2,FALSE),'Procurement Dataset'!E320)</f>
        <v>45124</v>
      </c>
      <c r="E320" s="1">
        <v>45124</v>
      </c>
      <c r="F320" t="s">
        <v>802</v>
      </c>
      <c r="G320" t="s">
        <v>811</v>
      </c>
      <c r="H320" s="5">
        <v>1197</v>
      </c>
      <c r="I320" s="3">
        <v>88.92</v>
      </c>
      <c r="J320" s="3">
        <v>78.819999999999993</v>
      </c>
      <c r="K320" s="5">
        <f t="shared" si="29"/>
        <v>31</v>
      </c>
      <c r="L320">
        <v>31</v>
      </c>
      <c r="M320" t="s">
        <v>793</v>
      </c>
      <c r="N320">
        <f t="shared" si="28"/>
        <v>7</v>
      </c>
      <c r="O320" t="str">
        <f t="shared" si="30"/>
        <v>Valid</v>
      </c>
      <c r="P320" s="1" t="str">
        <f>IF(N320&gt;=(VLOOKUP(B320,Lembar2!$B$19:$C$24,2,FALSE)+7),"Delayed","Ontime")</f>
        <v>Ontime</v>
      </c>
      <c r="Q320" s="3">
        <f t="shared" si="31"/>
        <v>106437.24</v>
      </c>
      <c r="R320" s="3">
        <f t="shared" si="32"/>
        <v>94347.54</v>
      </c>
      <c r="S320" s="3">
        <f t="shared" si="33"/>
        <v>12089.700000000012</v>
      </c>
      <c r="T320">
        <f t="shared" si="34"/>
        <v>1</v>
      </c>
    </row>
    <row r="321" spans="1:20" x14ac:dyDescent="0.25">
      <c r="A321" t="s">
        <v>1124</v>
      </c>
      <c r="B321" t="s">
        <v>798</v>
      </c>
      <c r="C321" s="1">
        <v>44624</v>
      </c>
      <c r="D321" s="1">
        <f>IF(E321="",C321+VLOOKUP(B321,Lembar2!$B$19:$C$24,2,FALSE),'Procurement Dataset'!E321)</f>
        <v>44632</v>
      </c>
      <c r="E321" s="1">
        <v>44632</v>
      </c>
      <c r="F321" t="s">
        <v>817</v>
      </c>
      <c r="G321" t="s">
        <v>796</v>
      </c>
      <c r="H321" s="5">
        <v>236</v>
      </c>
      <c r="I321" s="3">
        <v>28.43</v>
      </c>
      <c r="J321" s="3">
        <v>28.11</v>
      </c>
      <c r="K321" s="5">
        <f t="shared" si="29"/>
        <v>11</v>
      </c>
      <c r="L321">
        <v>11</v>
      </c>
      <c r="M321" t="s">
        <v>793</v>
      </c>
      <c r="N321">
        <f t="shared" si="28"/>
        <v>8</v>
      </c>
      <c r="O321" t="str">
        <f t="shared" si="30"/>
        <v>Valid</v>
      </c>
      <c r="P321" s="1" t="str">
        <f>IF(N321&gt;=(VLOOKUP(B321,Lembar2!$B$19:$C$24,2,FALSE)+7),"Delayed","Ontime")</f>
        <v>Ontime</v>
      </c>
      <c r="Q321" s="3">
        <f t="shared" si="31"/>
        <v>6709.48</v>
      </c>
      <c r="R321" s="3">
        <f t="shared" si="32"/>
        <v>6633.96</v>
      </c>
      <c r="S321" s="3">
        <f t="shared" si="33"/>
        <v>75.519999999999527</v>
      </c>
      <c r="T321">
        <f t="shared" si="34"/>
        <v>1</v>
      </c>
    </row>
    <row r="322" spans="1:20" x14ac:dyDescent="0.25">
      <c r="A322" t="s">
        <v>1125</v>
      </c>
      <c r="B322" t="s">
        <v>798</v>
      </c>
      <c r="C322" s="1">
        <v>44883</v>
      </c>
      <c r="D322" s="1">
        <f>IF(E322="",C322+VLOOKUP(B322,Lembar2!$B$19:$C$24,2,FALSE),'Procurement Dataset'!E322)</f>
        <v>44898</v>
      </c>
      <c r="E322" s="1">
        <v>44898</v>
      </c>
      <c r="F322" t="s">
        <v>804</v>
      </c>
      <c r="G322" t="s">
        <v>811</v>
      </c>
      <c r="H322" s="5">
        <v>1399</v>
      </c>
      <c r="I322" s="3">
        <v>25.97</v>
      </c>
      <c r="J322" s="3">
        <v>22.19</v>
      </c>
      <c r="K322" s="5">
        <f t="shared" si="29"/>
        <v>62</v>
      </c>
      <c r="L322">
        <v>62</v>
      </c>
      <c r="M322" t="s">
        <v>793</v>
      </c>
      <c r="N322">
        <f t="shared" ref="N322:N385" si="35">IF(E322 = "", "", E322-C322)</f>
        <v>15</v>
      </c>
      <c r="O322" t="str">
        <f t="shared" si="30"/>
        <v>Valid</v>
      </c>
      <c r="P322" s="1" t="str">
        <f>IF(N322&gt;=(VLOOKUP(B322,Lembar2!$B$19:$C$24,2,FALSE)+7),"Delayed","Ontime")</f>
        <v>Ontime</v>
      </c>
      <c r="Q322" s="3">
        <f t="shared" si="31"/>
        <v>36332.03</v>
      </c>
      <c r="R322" s="3">
        <f t="shared" si="32"/>
        <v>31043.81</v>
      </c>
      <c r="S322" s="3">
        <f t="shared" si="33"/>
        <v>5288.2199999999975</v>
      </c>
      <c r="T322">
        <f t="shared" si="34"/>
        <v>1</v>
      </c>
    </row>
    <row r="323" spans="1:20" x14ac:dyDescent="0.25">
      <c r="A323" t="s">
        <v>1126</v>
      </c>
      <c r="B323" t="s">
        <v>798</v>
      </c>
      <c r="C323" s="1">
        <v>44620</v>
      </c>
      <c r="D323" s="1">
        <f>IF(E323="",C323+VLOOKUP(B323,Lembar2!$B$19:$C$24,2,FALSE),'Procurement Dataset'!E323)</f>
        <v>44624</v>
      </c>
      <c r="E323" s="1">
        <v>44624</v>
      </c>
      <c r="F323" t="s">
        <v>817</v>
      </c>
      <c r="G323" t="s">
        <v>796</v>
      </c>
      <c r="H323" s="5">
        <v>513</v>
      </c>
      <c r="I323" s="3">
        <v>24.91</v>
      </c>
      <c r="J323" s="3">
        <v>22.58</v>
      </c>
      <c r="K323" s="5">
        <f t="shared" ref="K323:K386" si="36">IF(L323="", 0, L323)</f>
        <v>29</v>
      </c>
      <c r="L323">
        <v>29</v>
      </c>
      <c r="M323" t="s">
        <v>793</v>
      </c>
      <c r="N323">
        <f t="shared" si="35"/>
        <v>4</v>
      </c>
      <c r="O323" t="str">
        <f t="shared" ref="O323:O386" si="37">IF(D323&lt;C323,"Invalid","Valid")</f>
        <v>Valid</v>
      </c>
      <c r="P323" s="1" t="str">
        <f>IF(N323&gt;=(VLOOKUP(B323,Lembar2!$B$19:$C$24,2,FALSE)+7),"Delayed","Ontime")</f>
        <v>Ontime</v>
      </c>
      <c r="Q323" s="3">
        <f t="shared" ref="Q323:Q386" si="38">H323*I323</f>
        <v>12778.83</v>
      </c>
      <c r="R323" s="3">
        <f t="shared" ref="R323:R386" si="39">H323*J323</f>
        <v>11583.539999999999</v>
      </c>
      <c r="S323" s="3">
        <f t="shared" ref="S323:S386" si="40">Q323-R323</f>
        <v>1195.2900000000009</v>
      </c>
      <c r="T323">
        <f t="shared" ref="T323:T386" si="41">IF(P323="Ontime",1,0)</f>
        <v>1</v>
      </c>
    </row>
    <row r="324" spans="1:20" x14ac:dyDescent="0.25">
      <c r="A324" t="s">
        <v>1127</v>
      </c>
      <c r="B324" t="s">
        <v>795</v>
      </c>
      <c r="C324" s="1">
        <v>44613</v>
      </c>
      <c r="D324" s="1">
        <f>IF(E324="",C324+VLOOKUP(B324,Lembar2!$B$19:$C$24,2,FALSE),'Procurement Dataset'!E324)</f>
        <v>44624</v>
      </c>
      <c r="E324" s="1">
        <v>44624</v>
      </c>
      <c r="F324" t="s">
        <v>799</v>
      </c>
      <c r="G324" t="s">
        <v>796</v>
      </c>
      <c r="H324" s="5">
        <v>1422</v>
      </c>
      <c r="I324" s="3">
        <v>83.73</v>
      </c>
      <c r="J324" s="3">
        <v>76.47</v>
      </c>
      <c r="K324" s="5">
        <f t="shared" si="36"/>
        <v>198</v>
      </c>
      <c r="L324">
        <v>198</v>
      </c>
      <c r="M324" t="s">
        <v>793</v>
      </c>
      <c r="N324">
        <f t="shared" si="35"/>
        <v>11</v>
      </c>
      <c r="O324" t="str">
        <f t="shared" si="37"/>
        <v>Valid</v>
      </c>
      <c r="P324" s="1" t="str">
        <f>IF(N324&gt;=(VLOOKUP(B324,Lembar2!$B$19:$C$24,2,FALSE)+7),"Delayed","Ontime")</f>
        <v>Ontime</v>
      </c>
      <c r="Q324" s="3">
        <f t="shared" si="38"/>
        <v>119064.06000000001</v>
      </c>
      <c r="R324" s="3">
        <f t="shared" si="39"/>
        <v>108740.34</v>
      </c>
      <c r="S324" s="3">
        <f t="shared" si="40"/>
        <v>10323.720000000016</v>
      </c>
      <c r="T324">
        <f t="shared" si="41"/>
        <v>1</v>
      </c>
    </row>
    <row r="325" spans="1:20" x14ac:dyDescent="0.25">
      <c r="A325" t="s">
        <v>1128</v>
      </c>
      <c r="B325" t="s">
        <v>790</v>
      </c>
      <c r="C325" s="1">
        <v>45160</v>
      </c>
      <c r="D325" s="1">
        <f>IF(E325="",C325+VLOOKUP(B325,Lembar2!$B$19:$C$24,2,FALSE),'Procurement Dataset'!E325)</f>
        <v>45172</v>
      </c>
      <c r="E325" s="1">
        <v>45172</v>
      </c>
      <c r="F325" t="s">
        <v>791</v>
      </c>
      <c r="G325" t="s">
        <v>796</v>
      </c>
      <c r="H325" s="5">
        <v>1844</v>
      </c>
      <c r="I325" s="3">
        <v>76.510000000000005</v>
      </c>
      <c r="J325" s="3">
        <v>73.05</v>
      </c>
      <c r="K325" s="5">
        <f t="shared" si="36"/>
        <v>0</v>
      </c>
      <c r="M325" t="s">
        <v>793</v>
      </c>
      <c r="N325">
        <f t="shared" si="35"/>
        <v>12</v>
      </c>
      <c r="O325" t="str">
        <f t="shared" si="37"/>
        <v>Valid</v>
      </c>
      <c r="P325" s="1" t="str">
        <f>IF(N325&gt;=(VLOOKUP(B325,Lembar2!$B$19:$C$24,2,FALSE)+7),"Delayed","Ontime")</f>
        <v>Ontime</v>
      </c>
      <c r="Q325" s="3">
        <f t="shared" si="38"/>
        <v>141084.44</v>
      </c>
      <c r="R325" s="3">
        <f t="shared" si="39"/>
        <v>134704.19999999998</v>
      </c>
      <c r="S325" s="3">
        <f t="shared" si="40"/>
        <v>6380.2400000000198</v>
      </c>
      <c r="T325">
        <f t="shared" si="41"/>
        <v>1</v>
      </c>
    </row>
    <row r="326" spans="1:20" x14ac:dyDescent="0.25">
      <c r="A326" t="s">
        <v>1129</v>
      </c>
      <c r="B326" t="s">
        <v>798</v>
      </c>
      <c r="C326" s="1">
        <v>45050</v>
      </c>
      <c r="D326" s="1">
        <f>IF(E326="",C326+VLOOKUP(B326,Lembar2!$B$19:$C$24,2,FALSE),'Procurement Dataset'!E326)</f>
        <v>45060</v>
      </c>
      <c r="F326" t="s">
        <v>817</v>
      </c>
      <c r="G326" t="s">
        <v>796</v>
      </c>
      <c r="H326" s="5">
        <v>709</v>
      </c>
      <c r="I326" s="3">
        <v>61.64</v>
      </c>
      <c r="J326" s="3">
        <v>54.55</v>
      </c>
      <c r="K326" s="5">
        <f t="shared" si="36"/>
        <v>41</v>
      </c>
      <c r="L326">
        <v>41</v>
      </c>
      <c r="M326" t="s">
        <v>793</v>
      </c>
      <c r="N326" t="str">
        <f t="shared" si="35"/>
        <v/>
      </c>
      <c r="O326" t="str">
        <f t="shared" si="37"/>
        <v>Valid</v>
      </c>
      <c r="P326" s="1" t="str">
        <f>IF(N326&gt;=(VLOOKUP(B326,Lembar2!$B$19:$C$24,2,FALSE)+7),"Delayed","Ontime")</f>
        <v>Delayed</v>
      </c>
      <c r="Q326" s="3">
        <f t="shared" si="38"/>
        <v>43702.76</v>
      </c>
      <c r="R326" s="3">
        <f t="shared" si="39"/>
        <v>38675.949999999997</v>
      </c>
      <c r="S326" s="3">
        <f t="shared" si="40"/>
        <v>5026.8100000000049</v>
      </c>
      <c r="T326">
        <f t="shared" si="41"/>
        <v>0</v>
      </c>
    </row>
    <row r="327" spans="1:20" x14ac:dyDescent="0.25">
      <c r="A327" t="s">
        <v>1130</v>
      </c>
      <c r="B327" t="s">
        <v>795</v>
      </c>
      <c r="C327" s="1">
        <v>45076</v>
      </c>
      <c r="D327" s="1">
        <f>IF(E327="",C327+VLOOKUP(B327,Lembar2!$B$19:$C$24,2,FALSE),'Procurement Dataset'!E327)</f>
        <v>45092</v>
      </c>
      <c r="E327" s="1">
        <v>45092</v>
      </c>
      <c r="F327" t="s">
        <v>799</v>
      </c>
      <c r="G327" t="s">
        <v>796</v>
      </c>
      <c r="H327" s="5">
        <v>813</v>
      </c>
      <c r="I327" s="3">
        <v>45.68</v>
      </c>
      <c r="J327" s="3">
        <v>41.78</v>
      </c>
      <c r="K327" s="5">
        <f t="shared" si="36"/>
        <v>0</v>
      </c>
      <c r="M327" t="s">
        <v>805</v>
      </c>
      <c r="N327">
        <f t="shared" si="35"/>
        <v>16</v>
      </c>
      <c r="O327" t="str">
        <f t="shared" si="37"/>
        <v>Valid</v>
      </c>
      <c r="P327" s="1" t="str">
        <f>IF(N327&gt;=(VLOOKUP(B327,Lembar2!$B$19:$C$24,2,FALSE)+7),"Delayed","Ontime")</f>
        <v>Ontime</v>
      </c>
      <c r="Q327" s="3">
        <f t="shared" si="38"/>
        <v>37137.839999999997</v>
      </c>
      <c r="R327" s="3">
        <f t="shared" si="39"/>
        <v>33967.14</v>
      </c>
      <c r="S327" s="3">
        <f t="shared" si="40"/>
        <v>3170.6999999999971</v>
      </c>
      <c r="T327">
        <f t="shared" si="41"/>
        <v>1</v>
      </c>
    </row>
    <row r="328" spans="1:20" x14ac:dyDescent="0.25">
      <c r="A328" t="s">
        <v>1131</v>
      </c>
      <c r="B328" t="s">
        <v>795</v>
      </c>
      <c r="C328" s="1">
        <v>45105</v>
      </c>
      <c r="D328" s="1">
        <f>IF(E328="",C328+VLOOKUP(B328,Lembar2!$B$19:$C$24,2,FALSE),'Procurement Dataset'!E328)</f>
        <v>45108</v>
      </c>
      <c r="E328" s="1">
        <v>45108</v>
      </c>
      <c r="F328" t="s">
        <v>791</v>
      </c>
      <c r="G328" t="s">
        <v>796</v>
      </c>
      <c r="H328" s="5">
        <v>1004</v>
      </c>
      <c r="I328" s="3">
        <v>96.51</v>
      </c>
      <c r="J328" s="3">
        <v>92.9</v>
      </c>
      <c r="K328" s="5">
        <f t="shared" si="36"/>
        <v>146</v>
      </c>
      <c r="L328">
        <v>146</v>
      </c>
      <c r="M328" t="s">
        <v>805</v>
      </c>
      <c r="N328">
        <f t="shared" si="35"/>
        <v>3</v>
      </c>
      <c r="O328" t="str">
        <f t="shared" si="37"/>
        <v>Valid</v>
      </c>
      <c r="P328" s="1" t="str">
        <f>IF(N328&gt;=(VLOOKUP(B328,Lembar2!$B$19:$C$24,2,FALSE)+7),"Delayed","Ontime")</f>
        <v>Ontime</v>
      </c>
      <c r="Q328" s="3">
        <f t="shared" si="38"/>
        <v>96896.040000000008</v>
      </c>
      <c r="R328" s="3">
        <f t="shared" si="39"/>
        <v>93271.6</v>
      </c>
      <c r="S328" s="3">
        <f t="shared" si="40"/>
        <v>3624.4400000000023</v>
      </c>
      <c r="T328">
        <f t="shared" si="41"/>
        <v>1</v>
      </c>
    </row>
    <row r="329" spans="1:20" x14ac:dyDescent="0.25">
      <c r="A329" t="s">
        <v>1132</v>
      </c>
      <c r="B329" t="s">
        <v>807</v>
      </c>
      <c r="C329" s="1">
        <v>44723</v>
      </c>
      <c r="D329" s="1">
        <f>IF(E329="",C329+VLOOKUP(B329,Lembar2!$B$19:$C$24,2,FALSE),'Procurement Dataset'!E329)</f>
        <v>44727</v>
      </c>
      <c r="E329" s="1">
        <v>44727</v>
      </c>
      <c r="F329" t="s">
        <v>804</v>
      </c>
      <c r="G329" t="s">
        <v>796</v>
      </c>
      <c r="H329" s="5">
        <v>452</v>
      </c>
      <c r="I329" s="3">
        <v>46.45</v>
      </c>
      <c r="J329" s="3">
        <v>40.39</v>
      </c>
      <c r="K329" s="5">
        <f t="shared" si="36"/>
        <v>9</v>
      </c>
      <c r="L329">
        <v>9</v>
      </c>
      <c r="M329" t="s">
        <v>793</v>
      </c>
      <c r="N329">
        <f t="shared" si="35"/>
        <v>4</v>
      </c>
      <c r="O329" t="str">
        <f t="shared" si="37"/>
        <v>Valid</v>
      </c>
      <c r="P329" s="1" t="str">
        <f>IF(N329&gt;=(VLOOKUP(B329,Lembar2!$B$19:$C$24,2,FALSE)+7),"Delayed","Ontime")</f>
        <v>Ontime</v>
      </c>
      <c r="Q329" s="3">
        <f t="shared" si="38"/>
        <v>20995.4</v>
      </c>
      <c r="R329" s="3">
        <f t="shared" si="39"/>
        <v>18256.28</v>
      </c>
      <c r="S329" s="3">
        <f t="shared" si="40"/>
        <v>2739.1200000000026</v>
      </c>
      <c r="T329">
        <f t="shared" si="41"/>
        <v>1</v>
      </c>
    </row>
    <row r="330" spans="1:20" x14ac:dyDescent="0.25">
      <c r="A330" t="s">
        <v>1133</v>
      </c>
      <c r="B330" t="s">
        <v>801</v>
      </c>
      <c r="C330" s="1">
        <v>44620</v>
      </c>
      <c r="D330" s="1">
        <f>IF(E330="",C330+VLOOKUP(B330,Lembar2!$B$19:$C$24,2,FALSE),'Procurement Dataset'!E330)</f>
        <v>44632</v>
      </c>
      <c r="E330" s="1">
        <v>44632</v>
      </c>
      <c r="F330" t="s">
        <v>804</v>
      </c>
      <c r="G330" t="s">
        <v>813</v>
      </c>
      <c r="H330" s="5">
        <v>1419</v>
      </c>
      <c r="I330" s="3">
        <v>83.91</v>
      </c>
      <c r="J330" s="3">
        <v>71.459999999999994</v>
      </c>
      <c r="K330" s="5">
        <f t="shared" si="36"/>
        <v>137</v>
      </c>
      <c r="L330">
        <v>137</v>
      </c>
      <c r="M330" t="s">
        <v>793</v>
      </c>
      <c r="N330">
        <f t="shared" si="35"/>
        <v>12</v>
      </c>
      <c r="O330" t="str">
        <f t="shared" si="37"/>
        <v>Valid</v>
      </c>
      <c r="P330" s="1" t="str">
        <f>IF(N330&gt;=(VLOOKUP(B330,Lembar2!$B$19:$C$24,2,FALSE)+7),"Delayed","Ontime")</f>
        <v>Ontime</v>
      </c>
      <c r="Q330" s="3">
        <f t="shared" si="38"/>
        <v>119068.29</v>
      </c>
      <c r="R330" s="3">
        <f t="shared" si="39"/>
        <v>101401.73999999999</v>
      </c>
      <c r="S330" s="3">
        <f t="shared" si="40"/>
        <v>17666.550000000003</v>
      </c>
      <c r="T330">
        <f t="shared" si="41"/>
        <v>1</v>
      </c>
    </row>
    <row r="331" spans="1:20" x14ac:dyDescent="0.25">
      <c r="A331" t="s">
        <v>1134</v>
      </c>
      <c r="B331" t="s">
        <v>801</v>
      </c>
      <c r="C331" s="1">
        <v>45082</v>
      </c>
      <c r="D331" s="1">
        <f>IF(E331="",C331+VLOOKUP(B331,Lembar2!$B$19:$C$24,2,FALSE),'Procurement Dataset'!E331)</f>
        <v>45100</v>
      </c>
      <c r="E331" s="1">
        <v>45100</v>
      </c>
      <c r="F331" t="s">
        <v>802</v>
      </c>
      <c r="G331" t="s">
        <v>796</v>
      </c>
      <c r="H331" s="5">
        <v>1584</v>
      </c>
      <c r="I331" s="3">
        <v>53.73</v>
      </c>
      <c r="J331" s="3">
        <v>51.92</v>
      </c>
      <c r="K331" s="5">
        <f t="shared" si="36"/>
        <v>167</v>
      </c>
      <c r="L331">
        <v>167</v>
      </c>
      <c r="M331" t="s">
        <v>805</v>
      </c>
      <c r="N331">
        <f t="shared" si="35"/>
        <v>18</v>
      </c>
      <c r="O331" t="str">
        <f t="shared" si="37"/>
        <v>Valid</v>
      </c>
      <c r="P331" s="1" t="str">
        <f>IF(N331&gt;=(VLOOKUP(B331,Lembar2!$B$19:$C$24,2,FALSE)+7),"Delayed","Ontime")</f>
        <v>Ontime</v>
      </c>
      <c r="Q331" s="3">
        <f t="shared" si="38"/>
        <v>85108.319999999992</v>
      </c>
      <c r="R331" s="3">
        <f t="shared" si="39"/>
        <v>82241.279999999999</v>
      </c>
      <c r="S331" s="3">
        <f t="shared" si="40"/>
        <v>2867.0399999999936</v>
      </c>
      <c r="T331">
        <f t="shared" si="41"/>
        <v>1</v>
      </c>
    </row>
    <row r="332" spans="1:20" x14ac:dyDescent="0.25">
      <c r="A332" t="s">
        <v>1135</v>
      </c>
      <c r="B332" t="s">
        <v>798</v>
      </c>
      <c r="C332" s="1">
        <v>44644</v>
      </c>
      <c r="D332" s="1">
        <f>IF(E332="",C332+VLOOKUP(B332,Lembar2!$B$19:$C$24,2,FALSE),'Procurement Dataset'!E332)</f>
        <v>44662</v>
      </c>
      <c r="E332" s="1">
        <v>44662</v>
      </c>
      <c r="F332" t="s">
        <v>799</v>
      </c>
      <c r="G332" t="s">
        <v>813</v>
      </c>
      <c r="H332" s="5">
        <v>196</v>
      </c>
      <c r="I332" s="3">
        <v>44.36</v>
      </c>
      <c r="J332" s="3">
        <v>43.81</v>
      </c>
      <c r="K332" s="5">
        <f t="shared" si="36"/>
        <v>6</v>
      </c>
      <c r="L332">
        <v>6</v>
      </c>
      <c r="M332" t="s">
        <v>793</v>
      </c>
      <c r="N332">
        <f t="shared" si="35"/>
        <v>18</v>
      </c>
      <c r="O332" t="str">
        <f t="shared" si="37"/>
        <v>Valid</v>
      </c>
      <c r="P332" s="1" t="str">
        <f>IF(N332&gt;=(VLOOKUP(B332,Lembar2!$B$19:$C$24,2,FALSE)+7),"Delayed","Ontime")</f>
        <v>Delayed</v>
      </c>
      <c r="Q332" s="3">
        <f t="shared" si="38"/>
        <v>8694.56</v>
      </c>
      <c r="R332" s="3">
        <f t="shared" si="39"/>
        <v>8586.76</v>
      </c>
      <c r="S332" s="3">
        <f t="shared" si="40"/>
        <v>107.79999999999927</v>
      </c>
      <c r="T332">
        <f t="shared" si="41"/>
        <v>0</v>
      </c>
    </row>
    <row r="333" spans="1:20" x14ac:dyDescent="0.25">
      <c r="A333" t="s">
        <v>1136</v>
      </c>
      <c r="B333" t="s">
        <v>790</v>
      </c>
      <c r="C333" s="1">
        <v>44752</v>
      </c>
      <c r="D333" s="1">
        <f>IF(E333="",C333+VLOOKUP(B333,Lembar2!$B$19:$C$24,2,FALSE),'Procurement Dataset'!E333)</f>
        <v>44756</v>
      </c>
      <c r="E333" s="1">
        <v>44756</v>
      </c>
      <c r="F333" t="s">
        <v>791</v>
      </c>
      <c r="G333" t="s">
        <v>796</v>
      </c>
      <c r="H333" s="5">
        <v>1221</v>
      </c>
      <c r="I333" s="3">
        <v>53.19</v>
      </c>
      <c r="J333" s="3">
        <v>46.18</v>
      </c>
      <c r="K333" s="5">
        <f t="shared" si="36"/>
        <v>29</v>
      </c>
      <c r="L333">
        <v>29</v>
      </c>
      <c r="M333" t="s">
        <v>793</v>
      </c>
      <c r="N333">
        <f t="shared" si="35"/>
        <v>4</v>
      </c>
      <c r="O333" t="str">
        <f t="shared" si="37"/>
        <v>Valid</v>
      </c>
      <c r="P333" s="1" t="str">
        <f>IF(N333&gt;=(VLOOKUP(B333,Lembar2!$B$19:$C$24,2,FALSE)+7),"Delayed","Ontime")</f>
        <v>Ontime</v>
      </c>
      <c r="Q333" s="3">
        <f t="shared" si="38"/>
        <v>64944.99</v>
      </c>
      <c r="R333" s="3">
        <f t="shared" si="39"/>
        <v>56385.78</v>
      </c>
      <c r="S333" s="3">
        <f t="shared" si="40"/>
        <v>8559.2099999999991</v>
      </c>
      <c r="T333">
        <f t="shared" si="41"/>
        <v>1</v>
      </c>
    </row>
    <row r="334" spans="1:20" x14ac:dyDescent="0.25">
      <c r="A334" t="s">
        <v>1137</v>
      </c>
      <c r="B334" t="s">
        <v>790</v>
      </c>
      <c r="C334" s="1">
        <v>44632</v>
      </c>
      <c r="D334" s="1">
        <f>IF(E334="",C334+VLOOKUP(B334,Lembar2!$B$19:$C$24,2,FALSE),'Procurement Dataset'!E334)</f>
        <v>44646</v>
      </c>
      <c r="E334" s="1">
        <v>44646</v>
      </c>
      <c r="F334" t="s">
        <v>802</v>
      </c>
      <c r="G334" t="s">
        <v>796</v>
      </c>
      <c r="H334" s="5">
        <v>913</v>
      </c>
      <c r="I334" s="3">
        <v>37.5</v>
      </c>
      <c r="J334" s="3">
        <v>36.200000000000003</v>
      </c>
      <c r="K334" s="5">
        <f t="shared" si="36"/>
        <v>0</v>
      </c>
      <c r="M334" t="s">
        <v>793</v>
      </c>
      <c r="N334">
        <f t="shared" si="35"/>
        <v>14</v>
      </c>
      <c r="O334" t="str">
        <f t="shared" si="37"/>
        <v>Valid</v>
      </c>
      <c r="P334" s="1" t="str">
        <f>IF(N334&gt;=(VLOOKUP(B334,Lembar2!$B$19:$C$24,2,FALSE)+7),"Delayed","Ontime")</f>
        <v>Ontime</v>
      </c>
      <c r="Q334" s="3">
        <f t="shared" si="38"/>
        <v>34237.5</v>
      </c>
      <c r="R334" s="3">
        <f t="shared" si="39"/>
        <v>33050.600000000006</v>
      </c>
      <c r="S334" s="3">
        <f t="shared" si="40"/>
        <v>1186.8999999999942</v>
      </c>
      <c r="T334">
        <f t="shared" si="41"/>
        <v>1</v>
      </c>
    </row>
    <row r="335" spans="1:20" x14ac:dyDescent="0.25">
      <c r="A335" t="s">
        <v>1138</v>
      </c>
      <c r="B335" t="s">
        <v>790</v>
      </c>
      <c r="C335" s="1">
        <v>45171</v>
      </c>
      <c r="D335" s="1">
        <f>IF(E335="",C335+VLOOKUP(B335,Lembar2!$B$19:$C$24,2,FALSE),'Procurement Dataset'!E335)</f>
        <v>45173</v>
      </c>
      <c r="E335" s="1">
        <v>45173</v>
      </c>
      <c r="F335" t="s">
        <v>802</v>
      </c>
      <c r="G335" t="s">
        <v>796</v>
      </c>
      <c r="H335" s="5">
        <v>1784</v>
      </c>
      <c r="I335" s="3">
        <v>85.01</v>
      </c>
      <c r="J335" s="3">
        <v>76.69</v>
      </c>
      <c r="K335" s="5">
        <f t="shared" si="36"/>
        <v>37</v>
      </c>
      <c r="L335">
        <v>37</v>
      </c>
      <c r="M335" t="s">
        <v>793</v>
      </c>
      <c r="N335">
        <f t="shared" si="35"/>
        <v>2</v>
      </c>
      <c r="O335" t="str">
        <f t="shared" si="37"/>
        <v>Valid</v>
      </c>
      <c r="P335" s="1" t="str">
        <f>IF(N335&gt;=(VLOOKUP(B335,Lembar2!$B$19:$C$24,2,FALSE)+7),"Delayed","Ontime")</f>
        <v>Ontime</v>
      </c>
      <c r="Q335" s="3">
        <f t="shared" si="38"/>
        <v>151657.84</v>
      </c>
      <c r="R335" s="3">
        <f t="shared" si="39"/>
        <v>136814.96</v>
      </c>
      <c r="S335" s="3">
        <f t="shared" si="40"/>
        <v>14842.880000000005</v>
      </c>
      <c r="T335">
        <f t="shared" si="41"/>
        <v>1</v>
      </c>
    </row>
    <row r="336" spans="1:20" x14ac:dyDescent="0.25">
      <c r="A336" t="s">
        <v>1139</v>
      </c>
      <c r="B336" t="s">
        <v>795</v>
      </c>
      <c r="C336" s="1">
        <v>44631</v>
      </c>
      <c r="D336" s="1">
        <f>IF(E336="",C336+VLOOKUP(B336,Lembar2!$B$19:$C$24,2,FALSE),'Procurement Dataset'!E336)</f>
        <v>44642</v>
      </c>
      <c r="F336" t="s">
        <v>804</v>
      </c>
      <c r="G336" t="s">
        <v>796</v>
      </c>
      <c r="H336" s="5">
        <v>1893</v>
      </c>
      <c r="I336" s="3">
        <v>55.8</v>
      </c>
      <c r="J336" s="3">
        <v>52.35</v>
      </c>
      <c r="K336" s="5">
        <f t="shared" si="36"/>
        <v>0</v>
      </c>
      <c r="M336" t="s">
        <v>793</v>
      </c>
      <c r="N336" t="str">
        <f t="shared" si="35"/>
        <v/>
      </c>
      <c r="O336" t="str">
        <f t="shared" si="37"/>
        <v>Valid</v>
      </c>
      <c r="P336" s="1" t="str">
        <f>IF(N336&gt;=(VLOOKUP(B336,Lembar2!$B$19:$C$24,2,FALSE)+7),"Delayed","Ontime")</f>
        <v>Delayed</v>
      </c>
      <c r="Q336" s="3">
        <f t="shared" si="38"/>
        <v>105629.4</v>
      </c>
      <c r="R336" s="3">
        <f t="shared" si="39"/>
        <v>99098.55</v>
      </c>
      <c r="S336" s="3">
        <f t="shared" si="40"/>
        <v>6530.8499999999913</v>
      </c>
      <c r="T336">
        <f t="shared" si="41"/>
        <v>0</v>
      </c>
    </row>
    <row r="337" spans="1:20" x14ac:dyDescent="0.25">
      <c r="A337" t="s">
        <v>1140</v>
      </c>
      <c r="B337" t="s">
        <v>795</v>
      </c>
      <c r="C337" s="1">
        <v>45253</v>
      </c>
      <c r="D337" s="1">
        <f>IF(E337="",C337+VLOOKUP(B337,Lembar2!$B$19:$C$24,2,FALSE),'Procurement Dataset'!E337)</f>
        <v>45265</v>
      </c>
      <c r="E337" s="1">
        <v>45265</v>
      </c>
      <c r="F337" t="s">
        <v>817</v>
      </c>
      <c r="G337" t="s">
        <v>813</v>
      </c>
      <c r="H337" s="5">
        <v>538</v>
      </c>
      <c r="I337" s="3">
        <v>34.299999999999997</v>
      </c>
      <c r="J337" s="3">
        <v>32.25</v>
      </c>
      <c r="K337" s="5">
        <f t="shared" si="36"/>
        <v>84</v>
      </c>
      <c r="L337">
        <v>84</v>
      </c>
      <c r="M337" t="s">
        <v>805</v>
      </c>
      <c r="N337">
        <f t="shared" si="35"/>
        <v>12</v>
      </c>
      <c r="O337" t="str">
        <f t="shared" si="37"/>
        <v>Valid</v>
      </c>
      <c r="P337" s="1" t="str">
        <f>IF(N337&gt;=(VLOOKUP(B337,Lembar2!$B$19:$C$24,2,FALSE)+7),"Delayed","Ontime")</f>
        <v>Ontime</v>
      </c>
      <c r="Q337" s="3">
        <f t="shared" si="38"/>
        <v>18453.399999999998</v>
      </c>
      <c r="R337" s="3">
        <f t="shared" si="39"/>
        <v>17350.5</v>
      </c>
      <c r="S337" s="3">
        <f t="shared" si="40"/>
        <v>1102.8999999999978</v>
      </c>
      <c r="T337">
        <f t="shared" si="41"/>
        <v>1</v>
      </c>
    </row>
    <row r="338" spans="1:20" x14ac:dyDescent="0.25">
      <c r="A338" t="s">
        <v>1141</v>
      </c>
      <c r="B338" t="s">
        <v>795</v>
      </c>
      <c r="C338" s="1">
        <v>44802</v>
      </c>
      <c r="D338" s="1">
        <f>IF(E338="",C338+VLOOKUP(B338,Lembar2!$B$19:$C$24,2,FALSE),'Procurement Dataset'!E338)</f>
        <v>44819</v>
      </c>
      <c r="E338" s="1">
        <v>44819</v>
      </c>
      <c r="F338" t="s">
        <v>791</v>
      </c>
      <c r="G338" t="s">
        <v>813</v>
      </c>
      <c r="H338" s="5">
        <v>978</v>
      </c>
      <c r="I338" s="3">
        <v>94.15</v>
      </c>
      <c r="J338" s="3">
        <v>87.7</v>
      </c>
      <c r="K338" s="5">
        <f t="shared" si="36"/>
        <v>149</v>
      </c>
      <c r="L338">
        <v>149</v>
      </c>
      <c r="M338" t="s">
        <v>805</v>
      </c>
      <c r="N338">
        <f t="shared" si="35"/>
        <v>17</v>
      </c>
      <c r="O338" t="str">
        <f t="shared" si="37"/>
        <v>Valid</v>
      </c>
      <c r="P338" s="1" t="str">
        <f>IF(N338&gt;=(VLOOKUP(B338,Lembar2!$B$19:$C$24,2,FALSE)+7),"Delayed","Ontime")</f>
        <v>Ontime</v>
      </c>
      <c r="Q338" s="3">
        <f t="shared" si="38"/>
        <v>92078.700000000012</v>
      </c>
      <c r="R338" s="3">
        <f t="shared" si="39"/>
        <v>85770.6</v>
      </c>
      <c r="S338" s="3">
        <f t="shared" si="40"/>
        <v>6308.1000000000058</v>
      </c>
      <c r="T338">
        <f t="shared" si="41"/>
        <v>1</v>
      </c>
    </row>
    <row r="339" spans="1:20" x14ac:dyDescent="0.25">
      <c r="A339" t="s">
        <v>1142</v>
      </c>
      <c r="B339" t="s">
        <v>807</v>
      </c>
      <c r="C339" s="1">
        <v>44975</v>
      </c>
      <c r="D339" s="1">
        <f>IF(E339="",C339+VLOOKUP(B339,Lembar2!$B$19:$C$24,2,FALSE),'Procurement Dataset'!E339)</f>
        <v>44991</v>
      </c>
      <c r="E339" s="1">
        <v>44991</v>
      </c>
      <c r="F339" t="s">
        <v>804</v>
      </c>
      <c r="G339" t="s">
        <v>792</v>
      </c>
      <c r="H339" s="5">
        <v>1713</v>
      </c>
      <c r="I339" s="3">
        <v>47.45</v>
      </c>
      <c r="J339" s="3">
        <v>42.05</v>
      </c>
      <c r="K339" s="5">
        <f t="shared" si="36"/>
        <v>53</v>
      </c>
      <c r="L339">
        <v>53</v>
      </c>
      <c r="M339" t="s">
        <v>793</v>
      </c>
      <c r="N339">
        <f t="shared" si="35"/>
        <v>16</v>
      </c>
      <c r="O339" t="str">
        <f t="shared" si="37"/>
        <v>Valid</v>
      </c>
      <c r="P339" s="1" t="str">
        <f>IF(N339&gt;=(VLOOKUP(B339,Lembar2!$B$19:$C$24,2,FALSE)+7),"Delayed","Ontime")</f>
        <v>Ontime</v>
      </c>
      <c r="Q339" s="3">
        <f t="shared" si="38"/>
        <v>81281.850000000006</v>
      </c>
      <c r="R339" s="3">
        <f t="shared" si="39"/>
        <v>72031.649999999994</v>
      </c>
      <c r="S339" s="3">
        <f t="shared" si="40"/>
        <v>9250.2000000000116</v>
      </c>
      <c r="T339">
        <f t="shared" si="41"/>
        <v>1</v>
      </c>
    </row>
    <row r="340" spans="1:20" x14ac:dyDescent="0.25">
      <c r="A340" t="s">
        <v>1143</v>
      </c>
      <c r="B340" t="s">
        <v>795</v>
      </c>
      <c r="C340" s="1">
        <v>44684</v>
      </c>
      <c r="D340" s="1">
        <f>IF(E340="",C340+VLOOKUP(B340,Lembar2!$B$19:$C$24,2,FALSE),'Procurement Dataset'!E340)</f>
        <v>44688</v>
      </c>
      <c r="E340" s="1">
        <v>44688</v>
      </c>
      <c r="F340" t="s">
        <v>804</v>
      </c>
      <c r="G340" t="s">
        <v>813</v>
      </c>
      <c r="H340" s="5">
        <v>600</v>
      </c>
      <c r="I340" s="3">
        <v>60.1</v>
      </c>
      <c r="J340" s="3">
        <v>57.92</v>
      </c>
      <c r="K340" s="5">
        <f t="shared" si="36"/>
        <v>95</v>
      </c>
      <c r="L340">
        <v>95</v>
      </c>
      <c r="M340" t="s">
        <v>805</v>
      </c>
      <c r="N340">
        <f t="shared" si="35"/>
        <v>4</v>
      </c>
      <c r="O340" t="str">
        <f t="shared" si="37"/>
        <v>Valid</v>
      </c>
      <c r="P340" s="1" t="str">
        <f>IF(N340&gt;=(VLOOKUP(B340,Lembar2!$B$19:$C$24,2,FALSE)+7),"Delayed","Ontime")</f>
        <v>Ontime</v>
      </c>
      <c r="Q340" s="3">
        <f t="shared" si="38"/>
        <v>36060</v>
      </c>
      <c r="R340" s="3">
        <f t="shared" si="39"/>
        <v>34752</v>
      </c>
      <c r="S340" s="3">
        <f t="shared" si="40"/>
        <v>1308</v>
      </c>
      <c r="T340">
        <f t="shared" si="41"/>
        <v>1</v>
      </c>
    </row>
    <row r="341" spans="1:20" x14ac:dyDescent="0.25">
      <c r="A341" t="s">
        <v>1144</v>
      </c>
      <c r="B341" t="s">
        <v>790</v>
      </c>
      <c r="C341" s="1">
        <v>45145</v>
      </c>
      <c r="D341" s="1">
        <f>IF(E341="",C341+VLOOKUP(B341,Lembar2!$B$19:$C$24,2,FALSE),'Procurement Dataset'!E341)</f>
        <v>45163</v>
      </c>
      <c r="E341" s="1">
        <v>45163</v>
      </c>
      <c r="F341" t="s">
        <v>817</v>
      </c>
      <c r="G341" t="s">
        <v>813</v>
      </c>
      <c r="H341" s="5">
        <v>387</v>
      </c>
      <c r="I341" s="3">
        <v>100.28</v>
      </c>
      <c r="J341" s="3">
        <v>85.54</v>
      </c>
      <c r="K341" s="5">
        <f t="shared" si="36"/>
        <v>5</v>
      </c>
      <c r="L341">
        <v>5</v>
      </c>
      <c r="M341" t="s">
        <v>793</v>
      </c>
      <c r="N341">
        <f t="shared" si="35"/>
        <v>18</v>
      </c>
      <c r="O341" t="str">
        <f t="shared" si="37"/>
        <v>Valid</v>
      </c>
      <c r="P341" s="1" t="str">
        <f>IF(N341&gt;=(VLOOKUP(B341,Lembar2!$B$19:$C$24,2,FALSE)+7),"Delayed","Ontime")</f>
        <v>Delayed</v>
      </c>
      <c r="Q341" s="3">
        <f t="shared" si="38"/>
        <v>38808.36</v>
      </c>
      <c r="R341" s="3">
        <f t="shared" si="39"/>
        <v>33103.980000000003</v>
      </c>
      <c r="S341" s="3">
        <f t="shared" si="40"/>
        <v>5704.3799999999974</v>
      </c>
      <c r="T341">
        <f t="shared" si="41"/>
        <v>0</v>
      </c>
    </row>
    <row r="342" spans="1:20" x14ac:dyDescent="0.25">
      <c r="A342" t="s">
        <v>1145</v>
      </c>
      <c r="B342" t="s">
        <v>790</v>
      </c>
      <c r="C342" s="1">
        <v>44814</v>
      </c>
      <c r="D342" s="1">
        <f>IF(E342="",C342+VLOOKUP(B342,Lembar2!$B$19:$C$24,2,FALSE),'Procurement Dataset'!E342)</f>
        <v>44823</v>
      </c>
      <c r="E342" s="1">
        <v>44823</v>
      </c>
      <c r="F342" t="s">
        <v>799</v>
      </c>
      <c r="G342" t="s">
        <v>813</v>
      </c>
      <c r="H342" s="5">
        <v>921</v>
      </c>
      <c r="I342" s="3">
        <v>68.83</v>
      </c>
      <c r="J342" s="3">
        <v>59.13</v>
      </c>
      <c r="K342" s="5">
        <f t="shared" si="36"/>
        <v>22</v>
      </c>
      <c r="L342">
        <v>22</v>
      </c>
      <c r="M342" t="s">
        <v>793</v>
      </c>
      <c r="N342">
        <f t="shared" si="35"/>
        <v>9</v>
      </c>
      <c r="O342" t="str">
        <f t="shared" si="37"/>
        <v>Valid</v>
      </c>
      <c r="P342" s="1" t="str">
        <f>IF(N342&gt;=(VLOOKUP(B342,Lembar2!$B$19:$C$24,2,FALSE)+7),"Delayed","Ontime")</f>
        <v>Ontime</v>
      </c>
      <c r="Q342" s="3">
        <f t="shared" si="38"/>
        <v>63392.43</v>
      </c>
      <c r="R342" s="3">
        <f t="shared" si="39"/>
        <v>54458.73</v>
      </c>
      <c r="S342" s="3">
        <f t="shared" si="40"/>
        <v>8933.6999999999971</v>
      </c>
      <c r="T342">
        <f t="shared" si="41"/>
        <v>1</v>
      </c>
    </row>
    <row r="343" spans="1:20" x14ac:dyDescent="0.25">
      <c r="A343" t="s">
        <v>1146</v>
      </c>
      <c r="B343" t="s">
        <v>801</v>
      </c>
      <c r="C343" s="1">
        <v>45154</v>
      </c>
      <c r="D343" s="1">
        <f>IF(E343="",C343+VLOOKUP(B343,Lembar2!$B$19:$C$24,2,FALSE),'Procurement Dataset'!E343)</f>
        <v>45168</v>
      </c>
      <c r="E343" s="1">
        <v>45168</v>
      </c>
      <c r="F343" t="s">
        <v>799</v>
      </c>
      <c r="G343" t="s">
        <v>796</v>
      </c>
      <c r="H343" s="5">
        <v>690</v>
      </c>
      <c r="I343" s="3">
        <v>22.47</v>
      </c>
      <c r="J343" s="3">
        <v>21.94</v>
      </c>
      <c r="K343" s="5">
        <f t="shared" si="36"/>
        <v>77</v>
      </c>
      <c r="L343">
        <v>77</v>
      </c>
      <c r="M343" t="s">
        <v>793</v>
      </c>
      <c r="N343">
        <f t="shared" si="35"/>
        <v>14</v>
      </c>
      <c r="O343" t="str">
        <f t="shared" si="37"/>
        <v>Valid</v>
      </c>
      <c r="P343" s="1" t="str">
        <f>IF(N343&gt;=(VLOOKUP(B343,Lembar2!$B$19:$C$24,2,FALSE)+7),"Delayed","Ontime")</f>
        <v>Ontime</v>
      </c>
      <c r="Q343" s="3">
        <f t="shared" si="38"/>
        <v>15504.3</v>
      </c>
      <c r="R343" s="3">
        <f t="shared" si="39"/>
        <v>15138.6</v>
      </c>
      <c r="S343" s="3">
        <f t="shared" si="40"/>
        <v>365.69999999999891</v>
      </c>
      <c r="T343">
        <f t="shared" si="41"/>
        <v>1</v>
      </c>
    </row>
    <row r="344" spans="1:20" x14ac:dyDescent="0.25">
      <c r="A344" t="s">
        <v>1147</v>
      </c>
      <c r="B344" t="s">
        <v>790</v>
      </c>
      <c r="C344" s="1">
        <v>45170</v>
      </c>
      <c r="D344" s="1">
        <f>IF(E344="",C344+VLOOKUP(B344,Lembar2!$B$19:$C$24,2,FALSE),'Procurement Dataset'!E344)</f>
        <v>45190</v>
      </c>
      <c r="E344" s="1">
        <v>45190</v>
      </c>
      <c r="F344" t="s">
        <v>791</v>
      </c>
      <c r="G344" t="s">
        <v>792</v>
      </c>
      <c r="H344" s="5">
        <v>1852</v>
      </c>
      <c r="I344" s="3">
        <v>104.04</v>
      </c>
      <c r="J344" s="3">
        <v>94.89</v>
      </c>
      <c r="K344" s="5">
        <f t="shared" si="36"/>
        <v>36</v>
      </c>
      <c r="L344">
        <v>36</v>
      </c>
      <c r="M344" t="s">
        <v>793</v>
      </c>
      <c r="N344">
        <f t="shared" si="35"/>
        <v>20</v>
      </c>
      <c r="O344" t="str">
        <f t="shared" si="37"/>
        <v>Valid</v>
      </c>
      <c r="P344" s="1" t="str">
        <f>IF(N344&gt;=(VLOOKUP(B344,Lembar2!$B$19:$C$24,2,FALSE)+7),"Delayed","Ontime")</f>
        <v>Delayed</v>
      </c>
      <c r="Q344" s="3">
        <f t="shared" si="38"/>
        <v>192682.08000000002</v>
      </c>
      <c r="R344" s="3">
        <f t="shared" si="39"/>
        <v>175736.28</v>
      </c>
      <c r="S344" s="3">
        <f t="shared" si="40"/>
        <v>16945.800000000017</v>
      </c>
      <c r="T344">
        <f t="shared" si="41"/>
        <v>0</v>
      </c>
    </row>
    <row r="345" spans="1:20" x14ac:dyDescent="0.25">
      <c r="A345" t="s">
        <v>1148</v>
      </c>
      <c r="B345" t="s">
        <v>795</v>
      </c>
      <c r="C345" s="1">
        <v>44602</v>
      </c>
      <c r="D345" s="1">
        <f>IF(E345="",C345+VLOOKUP(B345,Lembar2!$B$19:$C$24,2,FALSE),'Procurement Dataset'!E345)</f>
        <v>44620</v>
      </c>
      <c r="E345" s="1">
        <v>44620</v>
      </c>
      <c r="F345" t="s">
        <v>817</v>
      </c>
      <c r="G345" t="s">
        <v>796</v>
      </c>
      <c r="H345" s="5">
        <v>522</v>
      </c>
      <c r="I345" s="3">
        <v>66.83</v>
      </c>
      <c r="J345" s="3">
        <v>58.01</v>
      </c>
      <c r="K345" s="5">
        <f t="shared" si="36"/>
        <v>74</v>
      </c>
      <c r="L345">
        <v>74</v>
      </c>
      <c r="M345" t="s">
        <v>793</v>
      </c>
      <c r="N345">
        <f t="shared" si="35"/>
        <v>18</v>
      </c>
      <c r="O345" t="str">
        <f t="shared" si="37"/>
        <v>Valid</v>
      </c>
      <c r="P345" s="1" t="str">
        <f>IF(N345&gt;=(VLOOKUP(B345,Lembar2!$B$19:$C$24,2,FALSE)+7),"Delayed","Ontime")</f>
        <v>Delayed</v>
      </c>
      <c r="Q345" s="3">
        <f t="shared" si="38"/>
        <v>34885.26</v>
      </c>
      <c r="R345" s="3">
        <f t="shared" si="39"/>
        <v>30281.219999999998</v>
      </c>
      <c r="S345" s="3">
        <f t="shared" si="40"/>
        <v>4604.0400000000045</v>
      </c>
      <c r="T345">
        <f t="shared" si="41"/>
        <v>0</v>
      </c>
    </row>
    <row r="346" spans="1:20" x14ac:dyDescent="0.25">
      <c r="A346" t="s">
        <v>1149</v>
      </c>
      <c r="B346" t="s">
        <v>795</v>
      </c>
      <c r="C346" s="1">
        <v>45196</v>
      </c>
      <c r="D346" s="1">
        <f>IF(E346="",C346+VLOOKUP(B346,Lembar2!$B$19:$C$24,2,FALSE),'Procurement Dataset'!E346)</f>
        <v>45205</v>
      </c>
      <c r="E346" s="1">
        <v>45205</v>
      </c>
      <c r="F346" t="s">
        <v>817</v>
      </c>
      <c r="G346" t="s">
        <v>796</v>
      </c>
      <c r="H346" s="5">
        <v>200</v>
      </c>
      <c r="I346" s="3">
        <v>44.16</v>
      </c>
      <c r="J346" s="3">
        <v>43.13</v>
      </c>
      <c r="K346" s="5">
        <f t="shared" si="36"/>
        <v>21</v>
      </c>
      <c r="L346">
        <v>21</v>
      </c>
      <c r="M346" t="s">
        <v>793</v>
      </c>
      <c r="N346">
        <f t="shared" si="35"/>
        <v>9</v>
      </c>
      <c r="O346" t="str">
        <f t="shared" si="37"/>
        <v>Valid</v>
      </c>
      <c r="P346" s="1" t="str">
        <f>IF(N346&gt;=(VLOOKUP(B346,Lembar2!$B$19:$C$24,2,FALSE)+7),"Delayed","Ontime")</f>
        <v>Ontime</v>
      </c>
      <c r="Q346" s="3">
        <f t="shared" si="38"/>
        <v>8832</v>
      </c>
      <c r="R346" s="3">
        <f t="shared" si="39"/>
        <v>8626</v>
      </c>
      <c r="S346" s="3">
        <f t="shared" si="40"/>
        <v>206</v>
      </c>
      <c r="T346">
        <f t="shared" si="41"/>
        <v>1</v>
      </c>
    </row>
    <row r="347" spans="1:20" x14ac:dyDescent="0.25">
      <c r="A347" t="s">
        <v>1150</v>
      </c>
      <c r="B347" t="s">
        <v>798</v>
      </c>
      <c r="C347" s="1">
        <v>44645</v>
      </c>
      <c r="D347" s="1">
        <f>IF(E347="",C347+VLOOKUP(B347,Lembar2!$B$19:$C$24,2,FALSE),'Procurement Dataset'!E347)</f>
        <v>44654</v>
      </c>
      <c r="E347" s="1">
        <v>44654</v>
      </c>
      <c r="F347" t="s">
        <v>802</v>
      </c>
      <c r="G347" t="s">
        <v>796</v>
      </c>
      <c r="H347" s="5">
        <v>1488</v>
      </c>
      <c r="I347" s="3">
        <v>22.76</v>
      </c>
      <c r="J347" s="3">
        <v>21.99</v>
      </c>
      <c r="K347" s="5">
        <f t="shared" si="36"/>
        <v>0</v>
      </c>
      <c r="M347" t="s">
        <v>793</v>
      </c>
      <c r="N347">
        <f t="shared" si="35"/>
        <v>9</v>
      </c>
      <c r="O347" t="str">
        <f t="shared" si="37"/>
        <v>Valid</v>
      </c>
      <c r="P347" s="1" t="str">
        <f>IF(N347&gt;=(VLOOKUP(B347,Lembar2!$B$19:$C$24,2,FALSE)+7),"Delayed","Ontime")</f>
        <v>Ontime</v>
      </c>
      <c r="Q347" s="3">
        <f t="shared" si="38"/>
        <v>33866.880000000005</v>
      </c>
      <c r="R347" s="3">
        <f t="shared" si="39"/>
        <v>32721.119999999999</v>
      </c>
      <c r="S347" s="3">
        <f t="shared" si="40"/>
        <v>1145.7600000000057</v>
      </c>
      <c r="T347">
        <f t="shared" si="41"/>
        <v>1</v>
      </c>
    </row>
    <row r="348" spans="1:20" x14ac:dyDescent="0.25">
      <c r="A348" t="s">
        <v>1151</v>
      </c>
      <c r="B348" t="s">
        <v>807</v>
      </c>
      <c r="C348" s="1">
        <v>44991</v>
      </c>
      <c r="D348" s="1">
        <f>IF(E348="",C348+VLOOKUP(B348,Lembar2!$B$19:$C$24,2,FALSE),'Procurement Dataset'!E348)</f>
        <v>45001</v>
      </c>
      <c r="E348" s="1">
        <v>45001</v>
      </c>
      <c r="F348" t="s">
        <v>817</v>
      </c>
      <c r="G348" t="s">
        <v>796</v>
      </c>
      <c r="H348" s="5">
        <v>1371</v>
      </c>
      <c r="I348" s="3">
        <v>87.16</v>
      </c>
      <c r="J348" s="3">
        <v>78.13</v>
      </c>
      <c r="K348" s="5">
        <f t="shared" si="36"/>
        <v>43</v>
      </c>
      <c r="L348">
        <v>43</v>
      </c>
      <c r="M348" t="s">
        <v>793</v>
      </c>
      <c r="N348">
        <f t="shared" si="35"/>
        <v>10</v>
      </c>
      <c r="O348" t="str">
        <f t="shared" si="37"/>
        <v>Valid</v>
      </c>
      <c r="P348" s="1" t="str">
        <f>IF(N348&gt;=(VLOOKUP(B348,Lembar2!$B$19:$C$24,2,FALSE)+7),"Delayed","Ontime")</f>
        <v>Ontime</v>
      </c>
      <c r="Q348" s="3">
        <f t="shared" si="38"/>
        <v>119496.36</v>
      </c>
      <c r="R348" s="3">
        <f t="shared" si="39"/>
        <v>107116.23</v>
      </c>
      <c r="S348" s="3">
        <f t="shared" si="40"/>
        <v>12380.130000000005</v>
      </c>
      <c r="T348">
        <f t="shared" si="41"/>
        <v>1</v>
      </c>
    </row>
    <row r="349" spans="1:20" x14ac:dyDescent="0.25">
      <c r="A349" t="s">
        <v>1152</v>
      </c>
      <c r="B349" t="s">
        <v>790</v>
      </c>
      <c r="C349" s="1">
        <v>45235</v>
      </c>
      <c r="D349" s="1">
        <f>IF(E349="",C349+VLOOKUP(B349,Lembar2!$B$19:$C$24,2,FALSE),'Procurement Dataset'!E349)</f>
        <v>45246</v>
      </c>
      <c r="F349" t="s">
        <v>791</v>
      </c>
      <c r="G349" t="s">
        <v>796</v>
      </c>
      <c r="H349" s="5">
        <v>1684</v>
      </c>
      <c r="I349" s="3">
        <v>73.05</v>
      </c>
      <c r="J349" s="3">
        <v>62.53</v>
      </c>
      <c r="K349" s="5">
        <f t="shared" si="36"/>
        <v>0</v>
      </c>
      <c r="M349" t="s">
        <v>793</v>
      </c>
      <c r="N349" t="str">
        <f t="shared" si="35"/>
        <v/>
      </c>
      <c r="O349" t="str">
        <f t="shared" si="37"/>
        <v>Valid</v>
      </c>
      <c r="P349" s="1" t="str">
        <f>IF(N349&gt;=(VLOOKUP(B349,Lembar2!$B$19:$C$24,2,FALSE)+7),"Delayed","Ontime")</f>
        <v>Delayed</v>
      </c>
      <c r="Q349" s="3">
        <f t="shared" si="38"/>
        <v>123016.2</v>
      </c>
      <c r="R349" s="3">
        <f t="shared" si="39"/>
        <v>105300.52</v>
      </c>
      <c r="S349" s="3">
        <f t="shared" si="40"/>
        <v>17715.679999999993</v>
      </c>
      <c r="T349">
        <f t="shared" si="41"/>
        <v>0</v>
      </c>
    </row>
    <row r="350" spans="1:20" x14ac:dyDescent="0.25">
      <c r="A350" t="s">
        <v>1153</v>
      </c>
      <c r="B350" t="s">
        <v>807</v>
      </c>
      <c r="C350" s="1">
        <v>45159</v>
      </c>
      <c r="D350" s="1">
        <f>IF(E350="",C350+VLOOKUP(B350,Lembar2!$B$19:$C$24,2,FALSE),'Procurement Dataset'!E350)</f>
        <v>45165</v>
      </c>
      <c r="E350" s="1">
        <v>45165</v>
      </c>
      <c r="F350" t="s">
        <v>817</v>
      </c>
      <c r="G350" t="s">
        <v>796</v>
      </c>
      <c r="H350" s="5">
        <v>312</v>
      </c>
      <c r="I350" s="3">
        <v>63.52</v>
      </c>
      <c r="J350" s="3">
        <v>58.09</v>
      </c>
      <c r="K350" s="5">
        <f t="shared" si="36"/>
        <v>0</v>
      </c>
      <c r="M350" t="s">
        <v>793</v>
      </c>
      <c r="N350">
        <f t="shared" si="35"/>
        <v>6</v>
      </c>
      <c r="O350" t="str">
        <f t="shared" si="37"/>
        <v>Valid</v>
      </c>
      <c r="P350" s="1" t="str">
        <f>IF(N350&gt;=(VLOOKUP(B350,Lembar2!$B$19:$C$24,2,FALSE)+7),"Delayed","Ontime")</f>
        <v>Ontime</v>
      </c>
      <c r="Q350" s="3">
        <f t="shared" si="38"/>
        <v>19818.240000000002</v>
      </c>
      <c r="R350" s="3">
        <f t="shared" si="39"/>
        <v>18124.080000000002</v>
      </c>
      <c r="S350" s="3">
        <f t="shared" si="40"/>
        <v>1694.1599999999999</v>
      </c>
      <c r="T350">
        <f t="shared" si="41"/>
        <v>1</v>
      </c>
    </row>
    <row r="351" spans="1:20" x14ac:dyDescent="0.25">
      <c r="A351" t="s">
        <v>1154</v>
      </c>
      <c r="B351" t="s">
        <v>790</v>
      </c>
      <c r="C351" s="1">
        <v>45140</v>
      </c>
      <c r="D351" s="1">
        <f>IF(E351="",C351+VLOOKUP(B351,Lembar2!$B$19:$C$24,2,FALSE),'Procurement Dataset'!E351)</f>
        <v>45159</v>
      </c>
      <c r="E351" s="1">
        <v>45159</v>
      </c>
      <c r="F351" t="s">
        <v>802</v>
      </c>
      <c r="G351" t="s">
        <v>792</v>
      </c>
      <c r="H351" s="5">
        <v>1837</v>
      </c>
      <c r="I351" s="3">
        <v>99.04</v>
      </c>
      <c r="J351" s="3">
        <v>86.51</v>
      </c>
      <c r="K351" s="5">
        <f t="shared" si="36"/>
        <v>39</v>
      </c>
      <c r="L351">
        <v>39</v>
      </c>
      <c r="M351" t="s">
        <v>793</v>
      </c>
      <c r="N351">
        <f t="shared" si="35"/>
        <v>19</v>
      </c>
      <c r="O351" t="str">
        <f t="shared" si="37"/>
        <v>Valid</v>
      </c>
      <c r="P351" s="1" t="str">
        <f>IF(N351&gt;=(VLOOKUP(B351,Lembar2!$B$19:$C$24,2,FALSE)+7),"Delayed","Ontime")</f>
        <v>Delayed</v>
      </c>
      <c r="Q351" s="3">
        <f t="shared" si="38"/>
        <v>181936.48</v>
      </c>
      <c r="R351" s="3">
        <f t="shared" si="39"/>
        <v>158918.87</v>
      </c>
      <c r="S351" s="3">
        <f t="shared" si="40"/>
        <v>23017.610000000015</v>
      </c>
      <c r="T351">
        <f t="shared" si="41"/>
        <v>0</v>
      </c>
    </row>
    <row r="352" spans="1:20" x14ac:dyDescent="0.25">
      <c r="A352" t="s">
        <v>1155</v>
      </c>
      <c r="B352" t="s">
        <v>801</v>
      </c>
      <c r="C352" s="1">
        <v>45097</v>
      </c>
      <c r="D352" s="1">
        <f>IF(E352="",C352+VLOOKUP(B352,Lembar2!$B$19:$C$24,2,FALSE),'Procurement Dataset'!E352)</f>
        <v>45100</v>
      </c>
      <c r="E352" s="1">
        <v>45100</v>
      </c>
      <c r="F352" t="s">
        <v>799</v>
      </c>
      <c r="G352" t="s">
        <v>796</v>
      </c>
      <c r="H352" s="5">
        <v>193</v>
      </c>
      <c r="I352" s="3">
        <v>87.86</v>
      </c>
      <c r="J352" s="3">
        <v>81.739999999999995</v>
      </c>
      <c r="K352" s="5">
        <f t="shared" si="36"/>
        <v>21</v>
      </c>
      <c r="L352">
        <v>21</v>
      </c>
      <c r="M352" t="s">
        <v>793</v>
      </c>
      <c r="N352">
        <f t="shared" si="35"/>
        <v>3</v>
      </c>
      <c r="O352" t="str">
        <f t="shared" si="37"/>
        <v>Valid</v>
      </c>
      <c r="P352" s="1" t="str">
        <f>IF(N352&gt;=(VLOOKUP(B352,Lembar2!$B$19:$C$24,2,FALSE)+7),"Delayed","Ontime")</f>
        <v>Ontime</v>
      </c>
      <c r="Q352" s="3">
        <f t="shared" si="38"/>
        <v>16956.98</v>
      </c>
      <c r="R352" s="3">
        <f t="shared" si="39"/>
        <v>15775.82</v>
      </c>
      <c r="S352" s="3">
        <f t="shared" si="40"/>
        <v>1181.1599999999999</v>
      </c>
      <c r="T352">
        <f t="shared" si="41"/>
        <v>1</v>
      </c>
    </row>
    <row r="353" spans="1:20" x14ac:dyDescent="0.25">
      <c r="A353" t="s">
        <v>1156</v>
      </c>
      <c r="B353" t="s">
        <v>801</v>
      </c>
      <c r="C353" s="1">
        <v>44885</v>
      </c>
      <c r="D353" s="1">
        <f>IF(E353="",C353+VLOOKUP(B353,Lembar2!$B$19:$C$24,2,FALSE),'Procurement Dataset'!E353)</f>
        <v>44886</v>
      </c>
      <c r="E353" s="1">
        <v>44886</v>
      </c>
      <c r="F353" t="s">
        <v>817</v>
      </c>
      <c r="G353" t="s">
        <v>796</v>
      </c>
      <c r="H353" s="5">
        <v>395</v>
      </c>
      <c r="I353" s="3">
        <v>24.83</v>
      </c>
      <c r="J353" s="3">
        <v>23.96</v>
      </c>
      <c r="K353" s="5">
        <f t="shared" si="36"/>
        <v>31</v>
      </c>
      <c r="L353">
        <v>31</v>
      </c>
      <c r="M353" t="s">
        <v>793</v>
      </c>
      <c r="N353">
        <f t="shared" si="35"/>
        <v>1</v>
      </c>
      <c r="O353" t="str">
        <f t="shared" si="37"/>
        <v>Valid</v>
      </c>
      <c r="P353" s="1" t="str">
        <f>IF(N353&gt;=(VLOOKUP(B353,Lembar2!$B$19:$C$24,2,FALSE)+7),"Delayed","Ontime")</f>
        <v>Ontime</v>
      </c>
      <c r="Q353" s="3">
        <f t="shared" si="38"/>
        <v>9807.8499999999985</v>
      </c>
      <c r="R353" s="3">
        <f t="shared" si="39"/>
        <v>9464.2000000000007</v>
      </c>
      <c r="S353" s="3">
        <f t="shared" si="40"/>
        <v>343.64999999999782</v>
      </c>
      <c r="T353">
        <f t="shared" si="41"/>
        <v>1</v>
      </c>
    </row>
    <row r="354" spans="1:20" x14ac:dyDescent="0.25">
      <c r="A354" t="s">
        <v>1157</v>
      </c>
      <c r="B354" t="s">
        <v>807</v>
      </c>
      <c r="C354" s="1">
        <v>44829</v>
      </c>
      <c r="D354" s="1">
        <f>IF(E354="",C354+VLOOKUP(B354,Lembar2!$B$19:$C$24,2,FALSE),'Procurement Dataset'!E354)</f>
        <v>44846</v>
      </c>
      <c r="E354" s="1">
        <v>44846</v>
      </c>
      <c r="F354" t="s">
        <v>817</v>
      </c>
      <c r="G354" t="s">
        <v>792</v>
      </c>
      <c r="H354" s="5">
        <v>673</v>
      </c>
      <c r="I354" s="3">
        <v>39.58</v>
      </c>
      <c r="J354" s="3">
        <v>35.83</v>
      </c>
      <c r="K354" s="5">
        <f t="shared" si="36"/>
        <v>25</v>
      </c>
      <c r="L354">
        <v>25</v>
      </c>
      <c r="M354" t="s">
        <v>793</v>
      </c>
      <c r="N354">
        <f t="shared" si="35"/>
        <v>17</v>
      </c>
      <c r="O354" t="str">
        <f t="shared" si="37"/>
        <v>Valid</v>
      </c>
      <c r="P354" s="1" t="str">
        <f>IF(N354&gt;=(VLOOKUP(B354,Lembar2!$B$19:$C$24,2,FALSE)+7),"Delayed","Ontime")</f>
        <v>Ontime</v>
      </c>
      <c r="Q354" s="3">
        <f t="shared" si="38"/>
        <v>26637.34</v>
      </c>
      <c r="R354" s="3">
        <f t="shared" si="39"/>
        <v>24113.59</v>
      </c>
      <c r="S354" s="3">
        <f t="shared" si="40"/>
        <v>2523.75</v>
      </c>
      <c r="T354">
        <f t="shared" si="41"/>
        <v>1</v>
      </c>
    </row>
    <row r="355" spans="1:20" x14ac:dyDescent="0.25">
      <c r="A355" t="s">
        <v>1158</v>
      </c>
      <c r="B355" t="s">
        <v>795</v>
      </c>
      <c r="C355" s="1">
        <v>44771</v>
      </c>
      <c r="D355" s="1">
        <f>IF(E355="",C355+VLOOKUP(B355,Lembar2!$B$19:$C$24,2,FALSE),'Procurement Dataset'!E355)</f>
        <v>44785</v>
      </c>
      <c r="E355" s="1">
        <v>44785</v>
      </c>
      <c r="F355" t="s">
        <v>791</v>
      </c>
      <c r="G355" t="s">
        <v>792</v>
      </c>
      <c r="H355" s="5">
        <v>1066</v>
      </c>
      <c r="I355" s="3">
        <v>33.33</v>
      </c>
      <c r="J355" s="3">
        <v>28.47</v>
      </c>
      <c r="K355" s="5">
        <f t="shared" si="36"/>
        <v>162</v>
      </c>
      <c r="L355">
        <v>162</v>
      </c>
      <c r="M355" t="s">
        <v>805</v>
      </c>
      <c r="N355">
        <f t="shared" si="35"/>
        <v>14</v>
      </c>
      <c r="O355" t="str">
        <f t="shared" si="37"/>
        <v>Valid</v>
      </c>
      <c r="P355" s="1" t="str">
        <f>IF(N355&gt;=(VLOOKUP(B355,Lembar2!$B$19:$C$24,2,FALSE)+7),"Delayed","Ontime")</f>
        <v>Ontime</v>
      </c>
      <c r="Q355" s="3">
        <f t="shared" si="38"/>
        <v>35529.78</v>
      </c>
      <c r="R355" s="3">
        <f t="shared" si="39"/>
        <v>30349.02</v>
      </c>
      <c r="S355" s="3">
        <f t="shared" si="40"/>
        <v>5180.7599999999984</v>
      </c>
      <c r="T355">
        <f t="shared" si="41"/>
        <v>1</v>
      </c>
    </row>
    <row r="356" spans="1:20" x14ac:dyDescent="0.25">
      <c r="A356" t="s">
        <v>1159</v>
      </c>
      <c r="B356" t="s">
        <v>798</v>
      </c>
      <c r="C356" s="1">
        <v>45247</v>
      </c>
      <c r="D356" s="1">
        <f>IF(E356="",C356+VLOOKUP(B356,Lembar2!$B$19:$C$24,2,FALSE),'Procurement Dataset'!E356)</f>
        <v>45253</v>
      </c>
      <c r="E356" s="1">
        <v>45253</v>
      </c>
      <c r="F356" t="s">
        <v>802</v>
      </c>
      <c r="G356" t="s">
        <v>796</v>
      </c>
      <c r="H356" s="5">
        <v>1645</v>
      </c>
      <c r="I356" s="3">
        <v>85.42</v>
      </c>
      <c r="J356" s="3">
        <v>80.78</v>
      </c>
      <c r="K356" s="5">
        <f t="shared" si="36"/>
        <v>73</v>
      </c>
      <c r="L356">
        <v>73</v>
      </c>
      <c r="M356" t="s">
        <v>805</v>
      </c>
      <c r="N356">
        <f t="shared" si="35"/>
        <v>6</v>
      </c>
      <c r="O356" t="str">
        <f t="shared" si="37"/>
        <v>Valid</v>
      </c>
      <c r="P356" s="1" t="str">
        <f>IF(N356&gt;=(VLOOKUP(B356,Lembar2!$B$19:$C$24,2,FALSE)+7),"Delayed","Ontime")</f>
        <v>Ontime</v>
      </c>
      <c r="Q356" s="3">
        <f t="shared" si="38"/>
        <v>140515.9</v>
      </c>
      <c r="R356" s="3">
        <f t="shared" si="39"/>
        <v>132883.1</v>
      </c>
      <c r="S356" s="3">
        <f t="shared" si="40"/>
        <v>7632.7999999999884</v>
      </c>
      <c r="T356">
        <f t="shared" si="41"/>
        <v>1</v>
      </c>
    </row>
    <row r="357" spans="1:20" x14ac:dyDescent="0.25">
      <c r="A357" t="s">
        <v>1160</v>
      </c>
      <c r="B357" t="s">
        <v>790</v>
      </c>
      <c r="C357" s="1">
        <v>44883</v>
      </c>
      <c r="D357" s="1">
        <f>IF(E357="",C357+VLOOKUP(B357,Lembar2!$B$19:$C$24,2,FALSE),'Procurement Dataset'!E357)</f>
        <v>44894</v>
      </c>
      <c r="E357" s="1">
        <v>44894</v>
      </c>
      <c r="F357" t="s">
        <v>817</v>
      </c>
      <c r="G357" t="s">
        <v>796</v>
      </c>
      <c r="H357" s="5">
        <v>930</v>
      </c>
      <c r="I357" s="3">
        <v>13.67</v>
      </c>
      <c r="J357" s="3">
        <v>11.95</v>
      </c>
      <c r="K357" s="5">
        <f t="shared" si="36"/>
        <v>16</v>
      </c>
      <c r="L357">
        <v>16</v>
      </c>
      <c r="M357" t="s">
        <v>793</v>
      </c>
      <c r="N357">
        <f t="shared" si="35"/>
        <v>11</v>
      </c>
      <c r="O357" t="str">
        <f t="shared" si="37"/>
        <v>Valid</v>
      </c>
      <c r="P357" s="1" t="str">
        <f>IF(N357&gt;=(VLOOKUP(B357,Lembar2!$B$19:$C$24,2,FALSE)+7),"Delayed","Ontime")</f>
        <v>Ontime</v>
      </c>
      <c r="Q357" s="3">
        <f t="shared" si="38"/>
        <v>12713.1</v>
      </c>
      <c r="R357" s="3">
        <f t="shared" si="39"/>
        <v>11113.5</v>
      </c>
      <c r="S357" s="3">
        <f t="shared" si="40"/>
        <v>1599.6000000000004</v>
      </c>
      <c r="T357">
        <f t="shared" si="41"/>
        <v>1</v>
      </c>
    </row>
    <row r="358" spans="1:20" x14ac:dyDescent="0.25">
      <c r="A358" t="s">
        <v>1161</v>
      </c>
      <c r="B358" t="s">
        <v>790</v>
      </c>
      <c r="C358" s="1">
        <v>44806</v>
      </c>
      <c r="D358" s="1">
        <f>IF(E358="",C358+VLOOKUP(B358,Lembar2!$B$19:$C$24,2,FALSE),'Procurement Dataset'!E358)</f>
        <v>44825</v>
      </c>
      <c r="E358" s="1">
        <v>44825</v>
      </c>
      <c r="F358" t="s">
        <v>791</v>
      </c>
      <c r="G358" t="s">
        <v>796</v>
      </c>
      <c r="H358" s="5">
        <v>51</v>
      </c>
      <c r="I358" s="3">
        <v>63.74</v>
      </c>
      <c r="J358" s="3">
        <v>56.1</v>
      </c>
      <c r="K358" s="5">
        <f t="shared" si="36"/>
        <v>0</v>
      </c>
      <c r="L358">
        <v>0</v>
      </c>
      <c r="M358" t="s">
        <v>793</v>
      </c>
      <c r="N358">
        <f t="shared" si="35"/>
        <v>19</v>
      </c>
      <c r="O358" t="str">
        <f t="shared" si="37"/>
        <v>Valid</v>
      </c>
      <c r="P358" s="1" t="str">
        <f>IF(N358&gt;=(VLOOKUP(B358,Lembar2!$B$19:$C$24,2,FALSE)+7),"Delayed","Ontime")</f>
        <v>Delayed</v>
      </c>
      <c r="Q358" s="3">
        <f t="shared" si="38"/>
        <v>3250.7400000000002</v>
      </c>
      <c r="R358" s="3">
        <f t="shared" si="39"/>
        <v>2861.1</v>
      </c>
      <c r="S358" s="3">
        <f t="shared" si="40"/>
        <v>389.64000000000033</v>
      </c>
      <c r="T358">
        <f t="shared" si="41"/>
        <v>0</v>
      </c>
    </row>
    <row r="359" spans="1:20" x14ac:dyDescent="0.25">
      <c r="A359" t="s">
        <v>1162</v>
      </c>
      <c r="B359" t="s">
        <v>798</v>
      </c>
      <c r="C359" s="1">
        <v>44833</v>
      </c>
      <c r="D359" s="1">
        <f>IF(E359="",C359+VLOOKUP(B359,Lembar2!$B$19:$C$24,2,FALSE),'Procurement Dataset'!E359)</f>
        <v>44835</v>
      </c>
      <c r="E359" s="1">
        <v>44835</v>
      </c>
      <c r="F359" t="s">
        <v>802</v>
      </c>
      <c r="G359" t="s">
        <v>796</v>
      </c>
      <c r="H359" s="5">
        <v>946</v>
      </c>
      <c r="I359" s="3">
        <v>81.77</v>
      </c>
      <c r="J359" s="3">
        <v>71.650000000000006</v>
      </c>
      <c r="K359" s="5">
        <f t="shared" si="36"/>
        <v>55</v>
      </c>
      <c r="L359">
        <v>55</v>
      </c>
      <c r="M359" t="s">
        <v>793</v>
      </c>
      <c r="N359">
        <f t="shared" si="35"/>
        <v>2</v>
      </c>
      <c r="O359" t="str">
        <f t="shared" si="37"/>
        <v>Valid</v>
      </c>
      <c r="P359" s="1" t="str">
        <f>IF(N359&gt;=(VLOOKUP(B359,Lembar2!$B$19:$C$24,2,FALSE)+7),"Delayed","Ontime")</f>
        <v>Ontime</v>
      </c>
      <c r="Q359" s="3">
        <f t="shared" si="38"/>
        <v>77354.42</v>
      </c>
      <c r="R359" s="3">
        <f t="shared" si="39"/>
        <v>67780.900000000009</v>
      </c>
      <c r="S359" s="3">
        <f t="shared" si="40"/>
        <v>9573.5199999999895</v>
      </c>
      <c r="T359">
        <f t="shared" si="41"/>
        <v>1</v>
      </c>
    </row>
    <row r="360" spans="1:20" x14ac:dyDescent="0.25">
      <c r="A360" t="s">
        <v>1163</v>
      </c>
      <c r="B360" t="s">
        <v>807</v>
      </c>
      <c r="C360" s="1">
        <v>44967</v>
      </c>
      <c r="D360" s="1">
        <f>IF(E360="",C360+VLOOKUP(B360,Lembar2!$B$19:$C$24,2,FALSE),'Procurement Dataset'!E360)</f>
        <v>44987</v>
      </c>
      <c r="E360" s="1">
        <v>44987</v>
      </c>
      <c r="F360" t="s">
        <v>804</v>
      </c>
      <c r="G360" t="s">
        <v>811</v>
      </c>
      <c r="H360" s="5">
        <v>1377</v>
      </c>
      <c r="I360" s="3">
        <v>94.69</v>
      </c>
      <c r="J360" s="3">
        <v>84.2</v>
      </c>
      <c r="K360" s="5">
        <f t="shared" si="36"/>
        <v>0</v>
      </c>
      <c r="M360" t="s">
        <v>793</v>
      </c>
      <c r="N360">
        <f t="shared" si="35"/>
        <v>20</v>
      </c>
      <c r="O360" t="str">
        <f t="shared" si="37"/>
        <v>Valid</v>
      </c>
      <c r="P360" s="1" t="str">
        <f>IF(N360&gt;=(VLOOKUP(B360,Lembar2!$B$19:$C$24,2,FALSE)+7),"Delayed","Ontime")</f>
        <v>Delayed</v>
      </c>
      <c r="Q360" s="3">
        <f t="shared" si="38"/>
        <v>130388.12999999999</v>
      </c>
      <c r="R360" s="3">
        <f t="shared" si="39"/>
        <v>115943.40000000001</v>
      </c>
      <c r="S360" s="3">
        <f t="shared" si="40"/>
        <v>14444.729999999981</v>
      </c>
      <c r="T360">
        <f t="shared" si="41"/>
        <v>0</v>
      </c>
    </row>
    <row r="361" spans="1:20" x14ac:dyDescent="0.25">
      <c r="A361" t="s">
        <v>1164</v>
      </c>
      <c r="B361" t="s">
        <v>807</v>
      </c>
      <c r="C361" s="1">
        <v>44696</v>
      </c>
      <c r="D361" s="1">
        <f>IF(E361="",C361+VLOOKUP(B361,Lembar2!$B$19:$C$24,2,FALSE),'Procurement Dataset'!E361)</f>
        <v>44699</v>
      </c>
      <c r="E361" s="1">
        <v>44699</v>
      </c>
      <c r="F361" t="s">
        <v>802</v>
      </c>
      <c r="G361" t="s">
        <v>792</v>
      </c>
      <c r="H361" s="5">
        <v>303</v>
      </c>
      <c r="I361" s="3">
        <v>41.6</v>
      </c>
      <c r="J361" s="3">
        <v>40.51</v>
      </c>
      <c r="K361" s="5">
        <f t="shared" si="36"/>
        <v>11</v>
      </c>
      <c r="L361">
        <v>11</v>
      </c>
      <c r="M361" t="s">
        <v>793</v>
      </c>
      <c r="N361">
        <f t="shared" si="35"/>
        <v>3</v>
      </c>
      <c r="O361" t="str">
        <f t="shared" si="37"/>
        <v>Valid</v>
      </c>
      <c r="P361" s="1" t="str">
        <f>IF(N361&gt;=(VLOOKUP(B361,Lembar2!$B$19:$C$24,2,FALSE)+7),"Delayed","Ontime")</f>
        <v>Ontime</v>
      </c>
      <c r="Q361" s="3">
        <f t="shared" si="38"/>
        <v>12604.800000000001</v>
      </c>
      <c r="R361" s="3">
        <f t="shared" si="39"/>
        <v>12274.529999999999</v>
      </c>
      <c r="S361" s="3">
        <f t="shared" si="40"/>
        <v>330.27000000000226</v>
      </c>
      <c r="T361">
        <f t="shared" si="41"/>
        <v>1</v>
      </c>
    </row>
    <row r="362" spans="1:20" x14ac:dyDescent="0.25">
      <c r="A362" t="s">
        <v>1165</v>
      </c>
      <c r="B362" t="s">
        <v>790</v>
      </c>
      <c r="C362" s="1">
        <v>45249</v>
      </c>
      <c r="D362" s="1">
        <f>IF(E362="",C362+VLOOKUP(B362,Lembar2!$B$19:$C$24,2,FALSE),'Procurement Dataset'!E362)</f>
        <v>45263</v>
      </c>
      <c r="E362" s="1">
        <v>45263</v>
      </c>
      <c r="F362" t="s">
        <v>804</v>
      </c>
      <c r="G362" t="s">
        <v>796</v>
      </c>
      <c r="H362" s="5">
        <v>1725</v>
      </c>
      <c r="I362" s="3">
        <v>93.14</v>
      </c>
      <c r="J362" s="3">
        <v>79.62</v>
      </c>
      <c r="K362" s="5">
        <f t="shared" si="36"/>
        <v>24</v>
      </c>
      <c r="L362">
        <v>24</v>
      </c>
      <c r="M362" t="s">
        <v>793</v>
      </c>
      <c r="N362">
        <f t="shared" si="35"/>
        <v>14</v>
      </c>
      <c r="O362" t="str">
        <f t="shared" si="37"/>
        <v>Valid</v>
      </c>
      <c r="P362" s="1" t="str">
        <f>IF(N362&gt;=(VLOOKUP(B362,Lembar2!$B$19:$C$24,2,FALSE)+7),"Delayed","Ontime")</f>
        <v>Ontime</v>
      </c>
      <c r="Q362" s="3">
        <f t="shared" si="38"/>
        <v>160666.5</v>
      </c>
      <c r="R362" s="3">
        <f t="shared" si="39"/>
        <v>137344.5</v>
      </c>
      <c r="S362" s="3">
        <f t="shared" si="40"/>
        <v>23322</v>
      </c>
      <c r="T362">
        <f t="shared" si="41"/>
        <v>1</v>
      </c>
    </row>
    <row r="363" spans="1:20" x14ac:dyDescent="0.25">
      <c r="A363" t="s">
        <v>1166</v>
      </c>
      <c r="B363" t="s">
        <v>801</v>
      </c>
      <c r="C363" s="1">
        <v>45222</v>
      </c>
      <c r="D363" s="1">
        <f>IF(E363="",C363+VLOOKUP(B363,Lembar2!$B$19:$C$24,2,FALSE),'Procurement Dataset'!E363)</f>
        <v>45237</v>
      </c>
      <c r="E363" s="1">
        <v>45237</v>
      </c>
      <c r="F363" t="s">
        <v>804</v>
      </c>
      <c r="G363" t="s">
        <v>792</v>
      </c>
      <c r="H363" s="5">
        <v>502</v>
      </c>
      <c r="I363" s="3">
        <v>22.05</v>
      </c>
      <c r="J363" s="3">
        <v>20.65</v>
      </c>
      <c r="K363" s="5">
        <f t="shared" si="36"/>
        <v>50</v>
      </c>
      <c r="L363">
        <v>50</v>
      </c>
      <c r="M363" t="s">
        <v>805</v>
      </c>
      <c r="N363">
        <f t="shared" si="35"/>
        <v>15</v>
      </c>
      <c r="O363" t="str">
        <f t="shared" si="37"/>
        <v>Valid</v>
      </c>
      <c r="P363" s="1" t="str">
        <f>IF(N363&gt;=(VLOOKUP(B363,Lembar2!$B$19:$C$24,2,FALSE)+7),"Delayed","Ontime")</f>
        <v>Ontime</v>
      </c>
      <c r="Q363" s="3">
        <f t="shared" si="38"/>
        <v>11069.1</v>
      </c>
      <c r="R363" s="3">
        <f t="shared" si="39"/>
        <v>10366.299999999999</v>
      </c>
      <c r="S363" s="3">
        <f t="shared" si="40"/>
        <v>702.80000000000109</v>
      </c>
      <c r="T363">
        <f t="shared" si="41"/>
        <v>1</v>
      </c>
    </row>
    <row r="364" spans="1:20" x14ac:dyDescent="0.25">
      <c r="A364" t="s">
        <v>1167</v>
      </c>
      <c r="B364" t="s">
        <v>798</v>
      </c>
      <c r="C364" s="1">
        <v>44869</v>
      </c>
      <c r="D364" s="1">
        <f>IF(E364="",C364+VLOOKUP(B364,Lembar2!$B$19:$C$24,2,FALSE),'Procurement Dataset'!E364)</f>
        <v>44876</v>
      </c>
      <c r="E364" s="1">
        <v>44876</v>
      </c>
      <c r="F364" t="s">
        <v>802</v>
      </c>
      <c r="G364" t="s">
        <v>796</v>
      </c>
      <c r="H364" s="5">
        <v>1110</v>
      </c>
      <c r="I364" s="3">
        <v>90.49</v>
      </c>
      <c r="J364" s="3">
        <v>80.03</v>
      </c>
      <c r="K364" s="5">
        <f t="shared" si="36"/>
        <v>61</v>
      </c>
      <c r="L364">
        <v>61</v>
      </c>
      <c r="M364" t="s">
        <v>793</v>
      </c>
      <c r="N364">
        <f t="shared" si="35"/>
        <v>7</v>
      </c>
      <c r="O364" t="str">
        <f t="shared" si="37"/>
        <v>Valid</v>
      </c>
      <c r="P364" s="1" t="str">
        <f>IF(N364&gt;=(VLOOKUP(B364,Lembar2!$B$19:$C$24,2,FALSE)+7),"Delayed","Ontime")</f>
        <v>Ontime</v>
      </c>
      <c r="Q364" s="3">
        <f t="shared" si="38"/>
        <v>100443.9</v>
      </c>
      <c r="R364" s="3">
        <f t="shared" si="39"/>
        <v>88833.3</v>
      </c>
      <c r="S364" s="3">
        <f t="shared" si="40"/>
        <v>11610.599999999991</v>
      </c>
      <c r="T364">
        <f t="shared" si="41"/>
        <v>1</v>
      </c>
    </row>
    <row r="365" spans="1:20" x14ac:dyDescent="0.25">
      <c r="A365" t="s">
        <v>1168</v>
      </c>
      <c r="B365" t="s">
        <v>790</v>
      </c>
      <c r="C365" s="1">
        <v>45030</v>
      </c>
      <c r="D365" s="1">
        <f>IF(E365="",C365+VLOOKUP(B365,Lembar2!$B$19:$C$24,2,FALSE),'Procurement Dataset'!E365)</f>
        <v>45034</v>
      </c>
      <c r="E365" s="1">
        <v>45034</v>
      </c>
      <c r="F365" t="s">
        <v>802</v>
      </c>
      <c r="G365" t="s">
        <v>796</v>
      </c>
      <c r="H365" s="5">
        <v>1233</v>
      </c>
      <c r="I365" s="3">
        <v>23.08</v>
      </c>
      <c r="J365" s="3">
        <v>20.57</v>
      </c>
      <c r="K365" s="5">
        <f t="shared" si="36"/>
        <v>0</v>
      </c>
      <c r="M365" t="s">
        <v>793</v>
      </c>
      <c r="N365">
        <f t="shared" si="35"/>
        <v>4</v>
      </c>
      <c r="O365" t="str">
        <f t="shared" si="37"/>
        <v>Valid</v>
      </c>
      <c r="P365" s="1" t="str">
        <f>IF(N365&gt;=(VLOOKUP(B365,Lembar2!$B$19:$C$24,2,FALSE)+7),"Delayed","Ontime")</f>
        <v>Ontime</v>
      </c>
      <c r="Q365" s="3">
        <f t="shared" si="38"/>
        <v>28457.64</v>
      </c>
      <c r="R365" s="3">
        <f t="shared" si="39"/>
        <v>25362.81</v>
      </c>
      <c r="S365" s="3">
        <f t="shared" si="40"/>
        <v>3094.8299999999981</v>
      </c>
      <c r="T365">
        <f t="shared" si="41"/>
        <v>1</v>
      </c>
    </row>
    <row r="366" spans="1:20" x14ac:dyDescent="0.25">
      <c r="A366" t="s">
        <v>1169</v>
      </c>
      <c r="B366" t="s">
        <v>801</v>
      </c>
      <c r="C366" s="1">
        <v>44885</v>
      </c>
      <c r="D366" s="1">
        <f>IF(E366="",C366+VLOOKUP(B366,Lembar2!$B$19:$C$24,2,FALSE),'Procurement Dataset'!E366)</f>
        <v>44889</v>
      </c>
      <c r="E366" s="1">
        <v>44889</v>
      </c>
      <c r="F366" t="s">
        <v>791</v>
      </c>
      <c r="G366" t="s">
        <v>796</v>
      </c>
      <c r="H366" s="5">
        <v>1064</v>
      </c>
      <c r="I366" s="3">
        <v>48.04</v>
      </c>
      <c r="J366" s="3">
        <v>43.6</v>
      </c>
      <c r="K366" s="5">
        <f t="shared" si="36"/>
        <v>94</v>
      </c>
      <c r="L366">
        <v>94</v>
      </c>
      <c r="M366" t="s">
        <v>793</v>
      </c>
      <c r="N366">
        <f t="shared" si="35"/>
        <v>4</v>
      </c>
      <c r="O366" t="str">
        <f t="shared" si="37"/>
        <v>Valid</v>
      </c>
      <c r="P366" s="1" t="str">
        <f>IF(N366&gt;=(VLOOKUP(B366,Lembar2!$B$19:$C$24,2,FALSE)+7),"Delayed","Ontime")</f>
        <v>Ontime</v>
      </c>
      <c r="Q366" s="3">
        <f t="shared" si="38"/>
        <v>51114.559999999998</v>
      </c>
      <c r="R366" s="3">
        <f t="shared" si="39"/>
        <v>46390.400000000001</v>
      </c>
      <c r="S366" s="3">
        <f t="shared" si="40"/>
        <v>4724.1599999999962</v>
      </c>
      <c r="T366">
        <f t="shared" si="41"/>
        <v>1</v>
      </c>
    </row>
    <row r="367" spans="1:20" x14ac:dyDescent="0.25">
      <c r="A367" t="s">
        <v>1170</v>
      </c>
      <c r="B367" t="s">
        <v>807</v>
      </c>
      <c r="C367" s="1">
        <v>44636</v>
      </c>
      <c r="D367" s="1">
        <f>IF(E367="",C367+VLOOKUP(B367,Lembar2!$B$19:$C$24,2,FALSE),'Procurement Dataset'!E367)</f>
        <v>44655</v>
      </c>
      <c r="E367" s="1">
        <v>44655</v>
      </c>
      <c r="F367" t="s">
        <v>802</v>
      </c>
      <c r="G367" t="s">
        <v>811</v>
      </c>
      <c r="H367" s="5">
        <v>58</v>
      </c>
      <c r="I367" s="3">
        <v>82.57</v>
      </c>
      <c r="J367" s="3">
        <v>76.55</v>
      </c>
      <c r="K367" s="5">
        <f t="shared" si="36"/>
        <v>0</v>
      </c>
      <c r="M367" t="s">
        <v>793</v>
      </c>
      <c r="N367">
        <f t="shared" si="35"/>
        <v>19</v>
      </c>
      <c r="O367" t="str">
        <f t="shared" si="37"/>
        <v>Valid</v>
      </c>
      <c r="P367" s="1" t="str">
        <f>IF(N367&gt;=(VLOOKUP(B367,Lembar2!$B$19:$C$24,2,FALSE)+7),"Delayed","Ontime")</f>
        <v>Delayed</v>
      </c>
      <c r="Q367" s="3">
        <f t="shared" si="38"/>
        <v>4789.0599999999995</v>
      </c>
      <c r="R367" s="3">
        <f t="shared" si="39"/>
        <v>4439.8999999999996</v>
      </c>
      <c r="S367" s="3">
        <f t="shared" si="40"/>
        <v>349.15999999999985</v>
      </c>
      <c r="T367">
        <f t="shared" si="41"/>
        <v>0</v>
      </c>
    </row>
    <row r="368" spans="1:20" x14ac:dyDescent="0.25">
      <c r="A368" t="s">
        <v>1171</v>
      </c>
      <c r="B368" t="s">
        <v>801</v>
      </c>
      <c r="C368" s="1">
        <v>44571</v>
      </c>
      <c r="D368" s="1">
        <f>IF(E368="",C368+VLOOKUP(B368,Lembar2!$B$19:$C$24,2,FALSE),'Procurement Dataset'!E368)</f>
        <v>44581</v>
      </c>
      <c r="E368" s="1">
        <v>44581</v>
      </c>
      <c r="F368" t="s">
        <v>799</v>
      </c>
      <c r="G368" t="s">
        <v>796</v>
      </c>
      <c r="H368" s="5">
        <v>1306</v>
      </c>
      <c r="I368" s="3">
        <v>23.49</v>
      </c>
      <c r="J368" s="3">
        <v>20.170000000000002</v>
      </c>
      <c r="K368" s="5">
        <f t="shared" si="36"/>
        <v>116</v>
      </c>
      <c r="L368">
        <v>116</v>
      </c>
      <c r="M368" t="s">
        <v>805</v>
      </c>
      <c r="N368">
        <f t="shared" si="35"/>
        <v>10</v>
      </c>
      <c r="O368" t="str">
        <f t="shared" si="37"/>
        <v>Valid</v>
      </c>
      <c r="P368" s="1" t="str">
        <f>IF(N368&gt;=(VLOOKUP(B368,Lembar2!$B$19:$C$24,2,FALSE)+7),"Delayed","Ontime")</f>
        <v>Ontime</v>
      </c>
      <c r="Q368" s="3">
        <f t="shared" si="38"/>
        <v>30677.94</v>
      </c>
      <c r="R368" s="3">
        <f t="shared" si="39"/>
        <v>26342.02</v>
      </c>
      <c r="S368" s="3">
        <f t="shared" si="40"/>
        <v>4335.9199999999983</v>
      </c>
      <c r="T368">
        <f t="shared" si="41"/>
        <v>1</v>
      </c>
    </row>
    <row r="369" spans="1:20" x14ac:dyDescent="0.25">
      <c r="A369" t="s">
        <v>1172</v>
      </c>
      <c r="B369" t="s">
        <v>795</v>
      </c>
      <c r="C369" s="1">
        <v>45031</v>
      </c>
      <c r="D369" s="1">
        <f>IF(E369="",C369+VLOOKUP(B369,Lembar2!$B$19:$C$24,2,FALSE),'Procurement Dataset'!E369)</f>
        <v>45044</v>
      </c>
      <c r="E369" s="1">
        <v>45044</v>
      </c>
      <c r="F369" t="s">
        <v>817</v>
      </c>
      <c r="G369" t="s">
        <v>796</v>
      </c>
      <c r="H369" s="5">
        <v>1172</v>
      </c>
      <c r="I369" s="3">
        <v>32.93</v>
      </c>
      <c r="J369" s="3">
        <v>29.28</v>
      </c>
      <c r="K369" s="5">
        <f t="shared" si="36"/>
        <v>0</v>
      </c>
      <c r="M369" t="s">
        <v>805</v>
      </c>
      <c r="N369">
        <f t="shared" si="35"/>
        <v>13</v>
      </c>
      <c r="O369" t="str">
        <f t="shared" si="37"/>
        <v>Valid</v>
      </c>
      <c r="P369" s="1" t="str">
        <f>IF(N369&gt;=(VLOOKUP(B369,Lembar2!$B$19:$C$24,2,FALSE)+7),"Delayed","Ontime")</f>
        <v>Ontime</v>
      </c>
      <c r="Q369" s="3">
        <f t="shared" si="38"/>
        <v>38593.96</v>
      </c>
      <c r="R369" s="3">
        <f t="shared" si="39"/>
        <v>34316.160000000003</v>
      </c>
      <c r="S369" s="3">
        <f t="shared" si="40"/>
        <v>4277.7999999999956</v>
      </c>
      <c r="T369">
        <f t="shared" si="41"/>
        <v>1</v>
      </c>
    </row>
    <row r="370" spans="1:20" x14ac:dyDescent="0.25">
      <c r="A370" t="s">
        <v>1173</v>
      </c>
      <c r="B370" t="s">
        <v>790</v>
      </c>
      <c r="C370" s="1">
        <v>45198</v>
      </c>
      <c r="D370" s="1">
        <f>IF(E370="",C370+VLOOKUP(B370,Lembar2!$B$19:$C$24,2,FALSE),'Procurement Dataset'!E370)</f>
        <v>45209</v>
      </c>
      <c r="F370" t="s">
        <v>802</v>
      </c>
      <c r="G370" t="s">
        <v>796</v>
      </c>
      <c r="H370" s="5">
        <v>1732</v>
      </c>
      <c r="I370" s="3">
        <v>82.5</v>
      </c>
      <c r="J370" s="3">
        <v>71.709999999999994</v>
      </c>
      <c r="K370" s="5">
        <f t="shared" si="36"/>
        <v>24</v>
      </c>
      <c r="L370">
        <v>24</v>
      </c>
      <c r="M370" t="s">
        <v>793</v>
      </c>
      <c r="N370" t="str">
        <f t="shared" si="35"/>
        <v/>
      </c>
      <c r="O370" t="str">
        <f t="shared" si="37"/>
        <v>Valid</v>
      </c>
      <c r="P370" s="1" t="str">
        <f>IF(N370&gt;=(VLOOKUP(B370,Lembar2!$B$19:$C$24,2,FALSE)+7),"Delayed","Ontime")</f>
        <v>Delayed</v>
      </c>
      <c r="Q370" s="3">
        <f t="shared" si="38"/>
        <v>142890</v>
      </c>
      <c r="R370" s="3">
        <f t="shared" si="39"/>
        <v>124201.71999999999</v>
      </c>
      <c r="S370" s="3">
        <f t="shared" si="40"/>
        <v>18688.280000000013</v>
      </c>
      <c r="T370">
        <f t="shared" si="41"/>
        <v>0</v>
      </c>
    </row>
    <row r="371" spans="1:20" x14ac:dyDescent="0.25">
      <c r="A371" t="s">
        <v>1174</v>
      </c>
      <c r="B371" t="s">
        <v>798</v>
      </c>
      <c r="C371" s="1">
        <v>45138</v>
      </c>
      <c r="D371" s="1">
        <f>IF(E371="",C371+VLOOKUP(B371,Lembar2!$B$19:$C$24,2,FALSE),'Procurement Dataset'!E371)</f>
        <v>45145</v>
      </c>
      <c r="E371" s="1">
        <v>45145</v>
      </c>
      <c r="F371" t="s">
        <v>804</v>
      </c>
      <c r="G371" t="s">
        <v>796</v>
      </c>
      <c r="H371" s="5">
        <v>865</v>
      </c>
      <c r="I371" s="3">
        <v>81.540000000000006</v>
      </c>
      <c r="J371" s="3">
        <v>71.59</v>
      </c>
      <c r="K371" s="5">
        <f t="shared" si="36"/>
        <v>39</v>
      </c>
      <c r="L371">
        <v>39</v>
      </c>
      <c r="M371" t="s">
        <v>793</v>
      </c>
      <c r="N371">
        <f t="shared" si="35"/>
        <v>7</v>
      </c>
      <c r="O371" t="str">
        <f t="shared" si="37"/>
        <v>Valid</v>
      </c>
      <c r="P371" s="1" t="str">
        <f>IF(N371&gt;=(VLOOKUP(B371,Lembar2!$B$19:$C$24,2,FALSE)+7),"Delayed","Ontime")</f>
        <v>Ontime</v>
      </c>
      <c r="Q371" s="3">
        <f t="shared" si="38"/>
        <v>70532.100000000006</v>
      </c>
      <c r="R371" s="3">
        <f t="shared" si="39"/>
        <v>61925.350000000006</v>
      </c>
      <c r="S371" s="3">
        <f t="shared" si="40"/>
        <v>8606.75</v>
      </c>
      <c r="T371">
        <f t="shared" si="41"/>
        <v>1</v>
      </c>
    </row>
    <row r="372" spans="1:20" x14ac:dyDescent="0.25">
      <c r="A372" t="s">
        <v>1175</v>
      </c>
      <c r="B372" t="s">
        <v>801</v>
      </c>
      <c r="C372" s="1">
        <v>44664</v>
      </c>
      <c r="D372" s="1">
        <f>IF(E372="",C372+VLOOKUP(B372,Lembar2!$B$19:$C$24,2,FALSE),'Procurement Dataset'!E372)</f>
        <v>44671</v>
      </c>
      <c r="E372" s="1">
        <v>44671</v>
      </c>
      <c r="F372" t="s">
        <v>804</v>
      </c>
      <c r="G372" t="s">
        <v>796</v>
      </c>
      <c r="H372" s="5">
        <v>257</v>
      </c>
      <c r="I372" s="3">
        <v>68.72</v>
      </c>
      <c r="J372" s="3">
        <v>66.92</v>
      </c>
      <c r="K372" s="5">
        <f t="shared" si="36"/>
        <v>22</v>
      </c>
      <c r="L372">
        <v>22</v>
      </c>
      <c r="M372" t="s">
        <v>793</v>
      </c>
      <c r="N372">
        <f t="shared" si="35"/>
        <v>7</v>
      </c>
      <c r="O372" t="str">
        <f t="shared" si="37"/>
        <v>Valid</v>
      </c>
      <c r="P372" s="1" t="str">
        <f>IF(N372&gt;=(VLOOKUP(B372,Lembar2!$B$19:$C$24,2,FALSE)+7),"Delayed","Ontime")</f>
        <v>Ontime</v>
      </c>
      <c r="Q372" s="3">
        <f t="shared" si="38"/>
        <v>17661.04</v>
      </c>
      <c r="R372" s="3">
        <f t="shared" si="39"/>
        <v>17198.439999999999</v>
      </c>
      <c r="S372" s="3">
        <f t="shared" si="40"/>
        <v>462.60000000000218</v>
      </c>
      <c r="T372">
        <f t="shared" si="41"/>
        <v>1</v>
      </c>
    </row>
    <row r="373" spans="1:20" x14ac:dyDescent="0.25">
      <c r="A373" t="s">
        <v>1176</v>
      </c>
      <c r="B373" t="s">
        <v>807</v>
      </c>
      <c r="C373" s="1">
        <v>44637</v>
      </c>
      <c r="D373" s="1">
        <f>IF(E373="",C373+VLOOKUP(B373,Lembar2!$B$19:$C$24,2,FALSE),'Procurement Dataset'!E373)</f>
        <v>44646</v>
      </c>
      <c r="E373" s="1">
        <v>44646</v>
      </c>
      <c r="F373" t="s">
        <v>802</v>
      </c>
      <c r="G373" t="s">
        <v>796</v>
      </c>
      <c r="H373" s="5">
        <v>1204</v>
      </c>
      <c r="I373" s="3">
        <v>73.180000000000007</v>
      </c>
      <c r="J373" s="3">
        <v>67.59</v>
      </c>
      <c r="K373" s="5">
        <f t="shared" si="36"/>
        <v>31</v>
      </c>
      <c r="L373">
        <v>31</v>
      </c>
      <c r="M373" t="s">
        <v>793</v>
      </c>
      <c r="N373">
        <f t="shared" si="35"/>
        <v>9</v>
      </c>
      <c r="O373" t="str">
        <f t="shared" si="37"/>
        <v>Valid</v>
      </c>
      <c r="P373" s="1" t="str">
        <f>IF(N373&gt;=(VLOOKUP(B373,Lembar2!$B$19:$C$24,2,FALSE)+7),"Delayed","Ontime")</f>
        <v>Ontime</v>
      </c>
      <c r="Q373" s="3">
        <f t="shared" si="38"/>
        <v>88108.72</v>
      </c>
      <c r="R373" s="3">
        <f t="shared" si="39"/>
        <v>81378.36</v>
      </c>
      <c r="S373" s="3">
        <f t="shared" si="40"/>
        <v>6730.3600000000006</v>
      </c>
      <c r="T373">
        <f t="shared" si="41"/>
        <v>1</v>
      </c>
    </row>
    <row r="374" spans="1:20" x14ac:dyDescent="0.25">
      <c r="A374" t="s">
        <v>1177</v>
      </c>
      <c r="B374" t="s">
        <v>801</v>
      </c>
      <c r="C374" s="1">
        <v>45112</v>
      </c>
      <c r="D374" s="1">
        <f>IF(E374="",C374+VLOOKUP(B374,Lembar2!$B$19:$C$24,2,FALSE),'Procurement Dataset'!E374)</f>
        <v>45116</v>
      </c>
      <c r="E374" s="1">
        <v>45116</v>
      </c>
      <c r="F374" t="s">
        <v>817</v>
      </c>
      <c r="G374" t="s">
        <v>811</v>
      </c>
      <c r="H374" s="5">
        <v>453</v>
      </c>
      <c r="I374" s="3">
        <v>64.14</v>
      </c>
      <c r="J374" s="3">
        <v>60.18</v>
      </c>
      <c r="K374" s="5">
        <f t="shared" si="36"/>
        <v>51</v>
      </c>
      <c r="L374">
        <v>51</v>
      </c>
      <c r="M374" t="s">
        <v>793</v>
      </c>
      <c r="N374">
        <f t="shared" si="35"/>
        <v>4</v>
      </c>
      <c r="O374" t="str">
        <f t="shared" si="37"/>
        <v>Valid</v>
      </c>
      <c r="P374" s="1" t="str">
        <f>IF(N374&gt;=(VLOOKUP(B374,Lembar2!$B$19:$C$24,2,FALSE)+7),"Delayed","Ontime")</f>
        <v>Ontime</v>
      </c>
      <c r="Q374" s="3">
        <f t="shared" si="38"/>
        <v>29055.420000000002</v>
      </c>
      <c r="R374" s="3">
        <f t="shared" si="39"/>
        <v>27261.54</v>
      </c>
      <c r="S374" s="3">
        <f t="shared" si="40"/>
        <v>1793.880000000001</v>
      </c>
      <c r="T374">
        <f t="shared" si="41"/>
        <v>1</v>
      </c>
    </row>
    <row r="375" spans="1:20" x14ac:dyDescent="0.25">
      <c r="A375" t="s">
        <v>1178</v>
      </c>
      <c r="B375" t="s">
        <v>807</v>
      </c>
      <c r="C375" s="1">
        <v>44780</v>
      </c>
      <c r="D375" s="1">
        <f>IF(E375="",C375+VLOOKUP(B375,Lembar2!$B$19:$C$24,2,FALSE),'Procurement Dataset'!E375)</f>
        <v>44794</v>
      </c>
      <c r="E375" s="1">
        <v>44794</v>
      </c>
      <c r="F375" t="s">
        <v>817</v>
      </c>
      <c r="G375" t="s">
        <v>796</v>
      </c>
      <c r="H375" s="5">
        <v>201</v>
      </c>
      <c r="I375" s="3">
        <v>33.81</v>
      </c>
      <c r="J375" s="3">
        <v>32.54</v>
      </c>
      <c r="K375" s="5">
        <f t="shared" si="36"/>
        <v>3</v>
      </c>
      <c r="L375">
        <v>3</v>
      </c>
      <c r="M375" t="s">
        <v>793</v>
      </c>
      <c r="N375">
        <f t="shared" si="35"/>
        <v>14</v>
      </c>
      <c r="O375" t="str">
        <f t="shared" si="37"/>
        <v>Valid</v>
      </c>
      <c r="P375" s="1" t="str">
        <f>IF(N375&gt;=(VLOOKUP(B375,Lembar2!$B$19:$C$24,2,FALSE)+7),"Delayed","Ontime")</f>
        <v>Ontime</v>
      </c>
      <c r="Q375" s="3">
        <f t="shared" si="38"/>
        <v>6795.81</v>
      </c>
      <c r="R375" s="3">
        <f t="shared" si="39"/>
        <v>6540.54</v>
      </c>
      <c r="S375" s="3">
        <f t="shared" si="40"/>
        <v>255.27000000000044</v>
      </c>
      <c r="T375">
        <f t="shared" si="41"/>
        <v>1</v>
      </c>
    </row>
    <row r="376" spans="1:20" x14ac:dyDescent="0.25">
      <c r="A376" t="s">
        <v>1179</v>
      </c>
      <c r="B376" t="s">
        <v>795</v>
      </c>
      <c r="C376" s="1">
        <v>45080</v>
      </c>
      <c r="D376" s="1">
        <f>IF(E376="",C376+VLOOKUP(B376,Lembar2!$B$19:$C$24,2,FALSE),'Procurement Dataset'!E376)</f>
        <v>45093</v>
      </c>
      <c r="E376" s="1">
        <v>45093</v>
      </c>
      <c r="F376" t="s">
        <v>791</v>
      </c>
      <c r="G376" t="s">
        <v>796</v>
      </c>
      <c r="H376" s="5">
        <v>103</v>
      </c>
      <c r="I376" s="3">
        <v>44.61</v>
      </c>
      <c r="J376" s="3">
        <v>42.88</v>
      </c>
      <c r="K376" s="5">
        <f t="shared" si="36"/>
        <v>10</v>
      </c>
      <c r="L376">
        <v>10</v>
      </c>
      <c r="M376" t="s">
        <v>793</v>
      </c>
      <c r="N376">
        <f t="shared" si="35"/>
        <v>13</v>
      </c>
      <c r="O376" t="str">
        <f t="shared" si="37"/>
        <v>Valid</v>
      </c>
      <c r="P376" s="1" t="str">
        <f>IF(N376&gt;=(VLOOKUP(B376,Lembar2!$B$19:$C$24,2,FALSE)+7),"Delayed","Ontime")</f>
        <v>Ontime</v>
      </c>
      <c r="Q376" s="3">
        <f t="shared" si="38"/>
        <v>4594.83</v>
      </c>
      <c r="R376" s="3">
        <f t="shared" si="39"/>
        <v>4416.6400000000003</v>
      </c>
      <c r="S376" s="3">
        <f t="shared" si="40"/>
        <v>178.1899999999996</v>
      </c>
      <c r="T376">
        <f t="shared" si="41"/>
        <v>1</v>
      </c>
    </row>
    <row r="377" spans="1:20" x14ac:dyDescent="0.25">
      <c r="A377" t="s">
        <v>1180</v>
      </c>
      <c r="B377" t="s">
        <v>807</v>
      </c>
      <c r="C377" s="1">
        <v>44833</v>
      </c>
      <c r="D377" s="1">
        <f>IF(E377="",C377+VLOOKUP(B377,Lembar2!$B$19:$C$24,2,FALSE),'Procurement Dataset'!E377)</f>
        <v>44841</v>
      </c>
      <c r="E377" s="1">
        <v>44841</v>
      </c>
      <c r="F377" t="s">
        <v>791</v>
      </c>
      <c r="G377" t="s">
        <v>796</v>
      </c>
      <c r="H377" s="5">
        <v>1193</v>
      </c>
      <c r="I377" s="3">
        <v>27.4</v>
      </c>
      <c r="J377" s="3">
        <v>27.09</v>
      </c>
      <c r="K377" s="5">
        <f t="shared" si="36"/>
        <v>0</v>
      </c>
      <c r="M377" t="s">
        <v>793</v>
      </c>
      <c r="N377">
        <f t="shared" si="35"/>
        <v>8</v>
      </c>
      <c r="O377" t="str">
        <f t="shared" si="37"/>
        <v>Valid</v>
      </c>
      <c r="P377" s="1" t="str">
        <f>IF(N377&gt;=(VLOOKUP(B377,Lembar2!$B$19:$C$24,2,FALSE)+7),"Delayed","Ontime")</f>
        <v>Ontime</v>
      </c>
      <c r="Q377" s="3">
        <f t="shared" si="38"/>
        <v>32688.199999999997</v>
      </c>
      <c r="R377" s="3">
        <f t="shared" si="39"/>
        <v>32318.37</v>
      </c>
      <c r="S377" s="3">
        <f t="shared" si="40"/>
        <v>369.82999999999811</v>
      </c>
      <c r="T377">
        <f t="shared" si="41"/>
        <v>1</v>
      </c>
    </row>
    <row r="378" spans="1:20" x14ac:dyDescent="0.25">
      <c r="A378" t="s">
        <v>1181</v>
      </c>
      <c r="B378" t="s">
        <v>798</v>
      </c>
      <c r="C378" s="1">
        <v>44697</v>
      </c>
      <c r="D378" s="1">
        <f>IF(E378="",C378+VLOOKUP(B378,Lembar2!$B$19:$C$24,2,FALSE),'Procurement Dataset'!E378)</f>
        <v>44709</v>
      </c>
      <c r="E378" s="1">
        <v>44709</v>
      </c>
      <c r="F378" t="s">
        <v>791</v>
      </c>
      <c r="G378" t="s">
        <v>811</v>
      </c>
      <c r="H378" s="5">
        <v>1746</v>
      </c>
      <c r="I378" s="3">
        <v>93.6</v>
      </c>
      <c r="J378" s="3">
        <v>89.81</v>
      </c>
      <c r="K378" s="5">
        <f t="shared" si="36"/>
        <v>85</v>
      </c>
      <c r="L378">
        <v>85</v>
      </c>
      <c r="M378" t="s">
        <v>793</v>
      </c>
      <c r="N378">
        <f t="shared" si="35"/>
        <v>12</v>
      </c>
      <c r="O378" t="str">
        <f t="shared" si="37"/>
        <v>Valid</v>
      </c>
      <c r="P378" s="1" t="str">
        <f>IF(N378&gt;=(VLOOKUP(B378,Lembar2!$B$19:$C$24,2,FALSE)+7),"Delayed","Ontime")</f>
        <v>Ontime</v>
      </c>
      <c r="Q378" s="3">
        <f t="shared" si="38"/>
        <v>163425.59999999998</v>
      </c>
      <c r="R378" s="3">
        <f t="shared" si="39"/>
        <v>156808.26</v>
      </c>
      <c r="S378" s="3">
        <f t="shared" si="40"/>
        <v>6617.3399999999674</v>
      </c>
      <c r="T378">
        <f t="shared" si="41"/>
        <v>1</v>
      </c>
    </row>
    <row r="379" spans="1:20" x14ac:dyDescent="0.25">
      <c r="A379" t="s">
        <v>1182</v>
      </c>
      <c r="B379" t="s">
        <v>795</v>
      </c>
      <c r="C379" s="1">
        <v>44919</v>
      </c>
      <c r="D379" s="1">
        <f>IF(E379="",C379+VLOOKUP(B379,Lembar2!$B$19:$C$24,2,FALSE),'Procurement Dataset'!E379)</f>
        <v>44921</v>
      </c>
      <c r="E379" s="1">
        <v>44921</v>
      </c>
      <c r="F379" t="s">
        <v>817</v>
      </c>
      <c r="G379" t="s">
        <v>796</v>
      </c>
      <c r="H379" s="5">
        <v>1993</v>
      </c>
      <c r="I379" s="3">
        <v>65.94</v>
      </c>
      <c r="J379" s="3">
        <v>59.36</v>
      </c>
      <c r="K379" s="5">
        <f t="shared" si="36"/>
        <v>0</v>
      </c>
      <c r="M379" t="s">
        <v>793</v>
      </c>
      <c r="N379">
        <f t="shared" si="35"/>
        <v>2</v>
      </c>
      <c r="O379" t="str">
        <f t="shared" si="37"/>
        <v>Valid</v>
      </c>
      <c r="P379" s="1" t="str">
        <f>IF(N379&gt;=(VLOOKUP(B379,Lembar2!$B$19:$C$24,2,FALSE)+7),"Delayed","Ontime")</f>
        <v>Ontime</v>
      </c>
      <c r="Q379" s="3">
        <f t="shared" si="38"/>
        <v>131418.41999999998</v>
      </c>
      <c r="R379" s="3">
        <f t="shared" si="39"/>
        <v>118304.48</v>
      </c>
      <c r="S379" s="3">
        <f t="shared" si="40"/>
        <v>13113.939999999988</v>
      </c>
      <c r="T379">
        <f t="shared" si="41"/>
        <v>1</v>
      </c>
    </row>
    <row r="380" spans="1:20" x14ac:dyDescent="0.25">
      <c r="A380" t="s">
        <v>1183</v>
      </c>
      <c r="B380" t="s">
        <v>801</v>
      </c>
      <c r="C380" s="1">
        <v>44632</v>
      </c>
      <c r="D380" s="1">
        <f>IF(E380="",C380+VLOOKUP(B380,Lembar2!$B$19:$C$24,2,FALSE),'Procurement Dataset'!E380)</f>
        <v>44647</v>
      </c>
      <c r="E380" s="1">
        <v>44647</v>
      </c>
      <c r="F380" t="s">
        <v>804</v>
      </c>
      <c r="G380" t="s">
        <v>796</v>
      </c>
      <c r="H380" s="5">
        <v>677</v>
      </c>
      <c r="I380" s="3">
        <v>46.54</v>
      </c>
      <c r="J380" s="3">
        <v>43.11</v>
      </c>
      <c r="K380" s="5">
        <f t="shared" si="36"/>
        <v>0</v>
      </c>
      <c r="M380" t="s">
        <v>805</v>
      </c>
      <c r="N380">
        <f t="shared" si="35"/>
        <v>15</v>
      </c>
      <c r="O380" t="str">
        <f t="shared" si="37"/>
        <v>Valid</v>
      </c>
      <c r="P380" s="1" t="str">
        <f>IF(N380&gt;=(VLOOKUP(B380,Lembar2!$B$19:$C$24,2,FALSE)+7),"Delayed","Ontime")</f>
        <v>Ontime</v>
      </c>
      <c r="Q380" s="3">
        <f t="shared" si="38"/>
        <v>31507.579999999998</v>
      </c>
      <c r="R380" s="3">
        <f t="shared" si="39"/>
        <v>29185.47</v>
      </c>
      <c r="S380" s="3">
        <f t="shared" si="40"/>
        <v>2322.1099999999969</v>
      </c>
      <c r="T380">
        <f t="shared" si="41"/>
        <v>1</v>
      </c>
    </row>
    <row r="381" spans="1:20" x14ac:dyDescent="0.25">
      <c r="A381" t="s">
        <v>1184</v>
      </c>
      <c r="B381" t="s">
        <v>790</v>
      </c>
      <c r="C381" s="1">
        <v>44812</v>
      </c>
      <c r="D381" s="1">
        <f>IF(E381="",C381+VLOOKUP(B381,Lembar2!$B$19:$C$24,2,FALSE),'Procurement Dataset'!E381)</f>
        <v>44823</v>
      </c>
      <c r="F381" t="s">
        <v>791</v>
      </c>
      <c r="G381" t="s">
        <v>813</v>
      </c>
      <c r="H381" s="5">
        <v>636</v>
      </c>
      <c r="I381" s="3">
        <v>53.64</v>
      </c>
      <c r="J381" s="3">
        <v>49.23</v>
      </c>
      <c r="K381" s="5">
        <f t="shared" si="36"/>
        <v>18</v>
      </c>
      <c r="L381">
        <v>18</v>
      </c>
      <c r="M381" t="s">
        <v>793</v>
      </c>
      <c r="N381" t="str">
        <f t="shared" si="35"/>
        <v/>
      </c>
      <c r="O381" t="str">
        <f t="shared" si="37"/>
        <v>Valid</v>
      </c>
      <c r="P381" s="1" t="str">
        <f>IF(N381&gt;=(VLOOKUP(B381,Lembar2!$B$19:$C$24,2,FALSE)+7),"Delayed","Ontime")</f>
        <v>Delayed</v>
      </c>
      <c r="Q381" s="3">
        <f t="shared" si="38"/>
        <v>34115.040000000001</v>
      </c>
      <c r="R381" s="3">
        <f t="shared" si="39"/>
        <v>31310.28</v>
      </c>
      <c r="S381" s="3">
        <f t="shared" si="40"/>
        <v>2804.760000000002</v>
      </c>
      <c r="T381">
        <f t="shared" si="41"/>
        <v>0</v>
      </c>
    </row>
    <row r="382" spans="1:20" x14ac:dyDescent="0.25">
      <c r="A382" t="s">
        <v>1185</v>
      </c>
      <c r="B382" t="s">
        <v>807</v>
      </c>
      <c r="C382" s="1">
        <v>44940</v>
      </c>
      <c r="D382" s="1">
        <f>IF(E382="",C382+VLOOKUP(B382,Lembar2!$B$19:$C$24,2,FALSE),'Procurement Dataset'!E382)</f>
        <v>44959</v>
      </c>
      <c r="E382" s="1">
        <v>44959</v>
      </c>
      <c r="F382" t="s">
        <v>802</v>
      </c>
      <c r="G382" t="s">
        <v>796</v>
      </c>
      <c r="H382" s="5">
        <v>1698</v>
      </c>
      <c r="I382" s="3">
        <v>100.97</v>
      </c>
      <c r="J382" s="3">
        <v>98.73</v>
      </c>
      <c r="K382" s="5">
        <f t="shared" si="36"/>
        <v>52</v>
      </c>
      <c r="L382">
        <v>52</v>
      </c>
      <c r="M382" t="s">
        <v>793</v>
      </c>
      <c r="N382">
        <f t="shared" si="35"/>
        <v>19</v>
      </c>
      <c r="O382" t="str">
        <f t="shared" si="37"/>
        <v>Valid</v>
      </c>
      <c r="P382" s="1" t="str">
        <f>IF(N382&gt;=(VLOOKUP(B382,Lembar2!$B$19:$C$24,2,FALSE)+7),"Delayed","Ontime")</f>
        <v>Delayed</v>
      </c>
      <c r="Q382" s="3">
        <f t="shared" si="38"/>
        <v>171447.06</v>
      </c>
      <c r="R382" s="3">
        <f t="shared" si="39"/>
        <v>167643.54</v>
      </c>
      <c r="S382" s="3">
        <f t="shared" si="40"/>
        <v>3803.5199999999895</v>
      </c>
      <c r="T382">
        <f t="shared" si="41"/>
        <v>0</v>
      </c>
    </row>
    <row r="383" spans="1:20" x14ac:dyDescent="0.25">
      <c r="A383" t="s">
        <v>1186</v>
      </c>
      <c r="B383" t="s">
        <v>798</v>
      </c>
      <c r="C383" s="1">
        <v>44853</v>
      </c>
      <c r="D383" s="1">
        <f>IF(E383="",C383+VLOOKUP(B383,Lembar2!$B$19:$C$24,2,FALSE),'Procurement Dataset'!E383)</f>
        <v>44866</v>
      </c>
      <c r="E383" s="1">
        <v>44866</v>
      </c>
      <c r="F383" t="s">
        <v>791</v>
      </c>
      <c r="G383" t="s">
        <v>796</v>
      </c>
      <c r="H383" s="5">
        <v>1493</v>
      </c>
      <c r="I383" s="3">
        <v>24.87</v>
      </c>
      <c r="J383" s="3">
        <v>22.89</v>
      </c>
      <c r="K383" s="5">
        <f t="shared" si="36"/>
        <v>56</v>
      </c>
      <c r="L383">
        <v>56</v>
      </c>
      <c r="M383" t="s">
        <v>793</v>
      </c>
      <c r="N383">
        <f t="shared" si="35"/>
        <v>13</v>
      </c>
      <c r="O383" t="str">
        <f t="shared" si="37"/>
        <v>Valid</v>
      </c>
      <c r="P383" s="1" t="str">
        <f>IF(N383&gt;=(VLOOKUP(B383,Lembar2!$B$19:$C$24,2,FALSE)+7),"Delayed","Ontime")</f>
        <v>Ontime</v>
      </c>
      <c r="Q383" s="3">
        <f t="shared" si="38"/>
        <v>37130.910000000003</v>
      </c>
      <c r="R383" s="3">
        <f t="shared" si="39"/>
        <v>34174.770000000004</v>
      </c>
      <c r="S383" s="3">
        <f t="shared" si="40"/>
        <v>2956.1399999999994</v>
      </c>
      <c r="T383">
        <f t="shared" si="41"/>
        <v>1</v>
      </c>
    </row>
    <row r="384" spans="1:20" x14ac:dyDescent="0.25">
      <c r="A384" t="s">
        <v>1187</v>
      </c>
      <c r="B384" t="s">
        <v>790</v>
      </c>
      <c r="C384" s="1">
        <v>44723</v>
      </c>
      <c r="D384" s="1">
        <f>IF(E384="",C384+VLOOKUP(B384,Lembar2!$B$19:$C$24,2,FALSE),'Procurement Dataset'!E384)</f>
        <v>44737</v>
      </c>
      <c r="E384" s="1">
        <v>44737</v>
      </c>
      <c r="F384" t="s">
        <v>802</v>
      </c>
      <c r="G384" t="s">
        <v>796</v>
      </c>
      <c r="H384" s="5">
        <v>1495</v>
      </c>
      <c r="I384" s="3">
        <v>64.33</v>
      </c>
      <c r="J384" s="3">
        <v>58.18</v>
      </c>
      <c r="K384" s="5">
        <f t="shared" si="36"/>
        <v>26</v>
      </c>
      <c r="L384">
        <v>26</v>
      </c>
      <c r="M384" t="s">
        <v>793</v>
      </c>
      <c r="N384">
        <f t="shared" si="35"/>
        <v>14</v>
      </c>
      <c r="O384" t="str">
        <f t="shared" si="37"/>
        <v>Valid</v>
      </c>
      <c r="P384" s="1" t="str">
        <f>IF(N384&gt;=(VLOOKUP(B384,Lembar2!$B$19:$C$24,2,FALSE)+7),"Delayed","Ontime")</f>
        <v>Ontime</v>
      </c>
      <c r="Q384" s="3">
        <f t="shared" si="38"/>
        <v>96173.349999999991</v>
      </c>
      <c r="R384" s="3">
        <f t="shared" si="39"/>
        <v>86979.1</v>
      </c>
      <c r="S384" s="3">
        <f t="shared" si="40"/>
        <v>9194.2499999999854</v>
      </c>
      <c r="T384">
        <f t="shared" si="41"/>
        <v>1</v>
      </c>
    </row>
    <row r="385" spans="1:20" x14ac:dyDescent="0.25">
      <c r="A385" t="s">
        <v>1188</v>
      </c>
      <c r="B385" t="s">
        <v>790</v>
      </c>
      <c r="C385" s="1">
        <v>45010</v>
      </c>
      <c r="D385" s="1">
        <f>IF(E385="",C385+VLOOKUP(B385,Lembar2!$B$19:$C$24,2,FALSE),'Procurement Dataset'!E385)</f>
        <v>45023</v>
      </c>
      <c r="E385" s="1">
        <v>45023</v>
      </c>
      <c r="F385" t="s">
        <v>802</v>
      </c>
      <c r="G385" t="s">
        <v>792</v>
      </c>
      <c r="H385" s="5">
        <v>153</v>
      </c>
      <c r="I385" s="3">
        <v>59.42</v>
      </c>
      <c r="J385" s="3">
        <v>52</v>
      </c>
      <c r="K385" s="5">
        <f t="shared" si="36"/>
        <v>3</v>
      </c>
      <c r="L385">
        <v>3</v>
      </c>
      <c r="M385" t="s">
        <v>793</v>
      </c>
      <c r="N385">
        <f t="shared" si="35"/>
        <v>13</v>
      </c>
      <c r="O385" t="str">
        <f t="shared" si="37"/>
        <v>Valid</v>
      </c>
      <c r="P385" s="1" t="str">
        <f>IF(N385&gt;=(VLOOKUP(B385,Lembar2!$B$19:$C$24,2,FALSE)+7),"Delayed","Ontime")</f>
        <v>Ontime</v>
      </c>
      <c r="Q385" s="3">
        <f t="shared" si="38"/>
        <v>9091.26</v>
      </c>
      <c r="R385" s="3">
        <f t="shared" si="39"/>
        <v>7956</v>
      </c>
      <c r="S385" s="3">
        <f t="shared" si="40"/>
        <v>1135.2600000000002</v>
      </c>
      <c r="T385">
        <f t="shared" si="41"/>
        <v>1</v>
      </c>
    </row>
    <row r="386" spans="1:20" x14ac:dyDescent="0.25">
      <c r="A386" t="s">
        <v>1189</v>
      </c>
      <c r="B386" t="s">
        <v>795</v>
      </c>
      <c r="C386" s="1">
        <v>45118</v>
      </c>
      <c r="D386" s="1">
        <f>IF(E386="",C386+VLOOKUP(B386,Lembar2!$B$19:$C$24,2,FALSE),'Procurement Dataset'!E386)</f>
        <v>45129</v>
      </c>
      <c r="E386" s="1">
        <v>45129</v>
      </c>
      <c r="F386" t="s">
        <v>804</v>
      </c>
      <c r="G386" t="s">
        <v>792</v>
      </c>
      <c r="H386" s="5">
        <v>1925</v>
      </c>
      <c r="I386" s="3">
        <v>70.88</v>
      </c>
      <c r="J386" s="3">
        <v>63.41</v>
      </c>
      <c r="K386" s="5">
        <f t="shared" si="36"/>
        <v>292</v>
      </c>
      <c r="L386">
        <v>292</v>
      </c>
      <c r="M386" t="s">
        <v>793</v>
      </c>
      <c r="N386">
        <f t="shared" ref="N386:N449" si="42">IF(E386 = "", "", E386-C386)</f>
        <v>11</v>
      </c>
      <c r="O386" t="str">
        <f t="shared" si="37"/>
        <v>Valid</v>
      </c>
      <c r="P386" s="1" t="str">
        <f>IF(N386&gt;=(VLOOKUP(B386,Lembar2!$B$19:$C$24,2,FALSE)+7),"Delayed","Ontime")</f>
        <v>Ontime</v>
      </c>
      <c r="Q386" s="3">
        <f t="shared" si="38"/>
        <v>136444</v>
      </c>
      <c r="R386" s="3">
        <f t="shared" si="39"/>
        <v>122064.25</v>
      </c>
      <c r="S386" s="3">
        <f t="shared" si="40"/>
        <v>14379.75</v>
      </c>
      <c r="T386">
        <f t="shared" si="41"/>
        <v>1</v>
      </c>
    </row>
    <row r="387" spans="1:20" x14ac:dyDescent="0.25">
      <c r="A387" t="s">
        <v>1190</v>
      </c>
      <c r="B387" t="s">
        <v>801</v>
      </c>
      <c r="C387" s="1">
        <v>45282</v>
      </c>
      <c r="D387" s="1">
        <f>IF(E387="",C387+VLOOKUP(B387,Lembar2!$B$19:$C$24,2,FALSE),'Procurement Dataset'!E387)</f>
        <v>45302</v>
      </c>
      <c r="E387" s="1">
        <v>45302</v>
      </c>
      <c r="F387" t="s">
        <v>802</v>
      </c>
      <c r="G387" t="s">
        <v>796</v>
      </c>
      <c r="H387" s="5">
        <v>303</v>
      </c>
      <c r="I387" s="3">
        <v>12.97</v>
      </c>
      <c r="J387" s="3">
        <v>11.42</v>
      </c>
      <c r="K387" s="5">
        <f t="shared" ref="K387:K450" si="43">IF(L387="", 0, L387)</f>
        <v>0</v>
      </c>
      <c r="M387" t="s">
        <v>805</v>
      </c>
      <c r="N387">
        <f t="shared" si="42"/>
        <v>20</v>
      </c>
      <c r="O387" t="str">
        <f t="shared" ref="O387:O450" si="44">IF(D387&lt;C387,"Invalid","Valid")</f>
        <v>Valid</v>
      </c>
      <c r="P387" s="1" t="str">
        <f>IF(N387&gt;=(VLOOKUP(B387,Lembar2!$B$19:$C$24,2,FALSE)+7),"Delayed","Ontime")</f>
        <v>Delayed</v>
      </c>
      <c r="Q387" s="3">
        <f t="shared" ref="Q387:Q450" si="45">H387*I387</f>
        <v>3929.9100000000003</v>
      </c>
      <c r="R387" s="3">
        <f t="shared" ref="R387:R450" si="46">H387*J387</f>
        <v>3460.2599999999998</v>
      </c>
      <c r="S387" s="3">
        <f t="shared" ref="S387:S450" si="47">Q387-R387</f>
        <v>469.65000000000055</v>
      </c>
      <c r="T387">
        <f t="shared" ref="T387:T450" si="48">IF(P387="Ontime",1,0)</f>
        <v>0</v>
      </c>
    </row>
    <row r="388" spans="1:20" x14ac:dyDescent="0.25">
      <c r="A388" t="s">
        <v>1191</v>
      </c>
      <c r="B388" t="s">
        <v>790</v>
      </c>
      <c r="C388" s="1">
        <v>44871</v>
      </c>
      <c r="D388" s="1">
        <f>IF(E388="",C388+VLOOKUP(B388,Lembar2!$B$19:$C$24,2,FALSE),'Procurement Dataset'!E388)</f>
        <v>44883</v>
      </c>
      <c r="E388" s="1">
        <v>44883</v>
      </c>
      <c r="F388" t="s">
        <v>791</v>
      </c>
      <c r="G388" t="s">
        <v>796</v>
      </c>
      <c r="H388" s="5">
        <v>1300</v>
      </c>
      <c r="I388" s="3">
        <v>92.92</v>
      </c>
      <c r="J388" s="3">
        <v>90.63</v>
      </c>
      <c r="K388" s="5">
        <f t="shared" si="43"/>
        <v>0</v>
      </c>
      <c r="M388" t="s">
        <v>793</v>
      </c>
      <c r="N388">
        <f t="shared" si="42"/>
        <v>12</v>
      </c>
      <c r="O388" t="str">
        <f t="shared" si="44"/>
        <v>Valid</v>
      </c>
      <c r="P388" s="1" t="str">
        <f>IF(N388&gt;=(VLOOKUP(B388,Lembar2!$B$19:$C$24,2,FALSE)+7),"Delayed","Ontime")</f>
        <v>Ontime</v>
      </c>
      <c r="Q388" s="3">
        <f t="shared" si="45"/>
        <v>120796</v>
      </c>
      <c r="R388" s="3">
        <f t="shared" si="46"/>
        <v>117819</v>
      </c>
      <c r="S388" s="3">
        <f t="shared" si="47"/>
        <v>2977</v>
      </c>
      <c r="T388">
        <f t="shared" si="48"/>
        <v>1</v>
      </c>
    </row>
    <row r="389" spans="1:20" x14ac:dyDescent="0.25">
      <c r="A389" t="s">
        <v>1192</v>
      </c>
      <c r="B389" t="s">
        <v>798</v>
      </c>
      <c r="C389" s="1">
        <v>45188</v>
      </c>
      <c r="D389" s="1">
        <f>IF(E389="",C389+VLOOKUP(B389,Lembar2!$B$19:$C$24,2,FALSE),'Procurement Dataset'!E389)</f>
        <v>45192</v>
      </c>
      <c r="E389" s="1">
        <v>45192</v>
      </c>
      <c r="F389" t="s">
        <v>804</v>
      </c>
      <c r="G389" t="s">
        <v>796</v>
      </c>
      <c r="H389" s="5">
        <v>1185</v>
      </c>
      <c r="I389" s="3">
        <v>103.28</v>
      </c>
      <c r="J389" s="3">
        <v>99.05</v>
      </c>
      <c r="K389" s="5">
        <f t="shared" si="43"/>
        <v>0</v>
      </c>
      <c r="M389" t="s">
        <v>793</v>
      </c>
      <c r="N389">
        <f t="shared" si="42"/>
        <v>4</v>
      </c>
      <c r="O389" t="str">
        <f t="shared" si="44"/>
        <v>Valid</v>
      </c>
      <c r="P389" s="1" t="str">
        <f>IF(N389&gt;=(VLOOKUP(B389,Lembar2!$B$19:$C$24,2,FALSE)+7),"Delayed","Ontime")</f>
        <v>Ontime</v>
      </c>
      <c r="Q389" s="3">
        <f t="shared" si="45"/>
        <v>122386.8</v>
      </c>
      <c r="R389" s="3">
        <f t="shared" si="46"/>
        <v>117374.25</v>
      </c>
      <c r="S389" s="3">
        <f t="shared" si="47"/>
        <v>5012.5500000000029</v>
      </c>
      <c r="T389">
        <f t="shared" si="48"/>
        <v>1</v>
      </c>
    </row>
    <row r="390" spans="1:20" x14ac:dyDescent="0.25">
      <c r="A390" t="s">
        <v>1193</v>
      </c>
      <c r="B390" t="s">
        <v>807</v>
      </c>
      <c r="C390" s="1">
        <v>45231</v>
      </c>
      <c r="D390" s="1">
        <f>IF(E390="",C390+VLOOKUP(B390,Lembar2!$B$19:$C$24,2,FALSE),'Procurement Dataset'!E390)</f>
        <v>45250</v>
      </c>
      <c r="E390" s="1">
        <v>45250</v>
      </c>
      <c r="F390" t="s">
        <v>804</v>
      </c>
      <c r="G390" t="s">
        <v>796</v>
      </c>
      <c r="H390" s="5">
        <v>559</v>
      </c>
      <c r="I390" s="3">
        <v>67.56</v>
      </c>
      <c r="J390" s="3">
        <v>57.98</v>
      </c>
      <c r="K390" s="5">
        <f t="shared" si="43"/>
        <v>15</v>
      </c>
      <c r="L390">
        <v>15</v>
      </c>
      <c r="M390" t="s">
        <v>793</v>
      </c>
      <c r="N390">
        <f t="shared" si="42"/>
        <v>19</v>
      </c>
      <c r="O390" t="str">
        <f t="shared" si="44"/>
        <v>Valid</v>
      </c>
      <c r="P390" s="1" t="str">
        <f>IF(N390&gt;=(VLOOKUP(B390,Lembar2!$B$19:$C$24,2,FALSE)+7),"Delayed","Ontime")</f>
        <v>Delayed</v>
      </c>
      <c r="Q390" s="3">
        <f t="shared" si="45"/>
        <v>37766.04</v>
      </c>
      <c r="R390" s="3">
        <f t="shared" si="46"/>
        <v>32410.82</v>
      </c>
      <c r="S390" s="3">
        <f t="shared" si="47"/>
        <v>5355.2200000000012</v>
      </c>
      <c r="T390">
        <f t="shared" si="48"/>
        <v>0</v>
      </c>
    </row>
    <row r="391" spans="1:20" x14ac:dyDescent="0.25">
      <c r="A391" t="s">
        <v>1194</v>
      </c>
      <c r="B391" t="s">
        <v>807</v>
      </c>
      <c r="C391" s="1">
        <v>45103</v>
      </c>
      <c r="D391" s="1">
        <f>IF(E391="",C391+VLOOKUP(B391,Lembar2!$B$19:$C$24,2,FALSE),'Procurement Dataset'!E391)</f>
        <v>45106</v>
      </c>
      <c r="E391" s="1">
        <v>45106</v>
      </c>
      <c r="F391" t="s">
        <v>817</v>
      </c>
      <c r="G391" t="s">
        <v>813</v>
      </c>
      <c r="H391" s="5">
        <v>1546</v>
      </c>
      <c r="I391" s="3">
        <v>78.88</v>
      </c>
      <c r="J391" s="3">
        <v>78</v>
      </c>
      <c r="K391" s="5">
        <f t="shared" si="43"/>
        <v>38</v>
      </c>
      <c r="L391">
        <v>38</v>
      </c>
      <c r="M391" t="s">
        <v>793</v>
      </c>
      <c r="N391">
        <f t="shared" si="42"/>
        <v>3</v>
      </c>
      <c r="O391" t="str">
        <f t="shared" si="44"/>
        <v>Valid</v>
      </c>
      <c r="P391" s="1" t="str">
        <f>IF(N391&gt;=(VLOOKUP(B391,Lembar2!$B$19:$C$24,2,FALSE)+7),"Delayed","Ontime")</f>
        <v>Ontime</v>
      </c>
      <c r="Q391" s="3">
        <f t="shared" si="45"/>
        <v>121948.48</v>
      </c>
      <c r="R391" s="3">
        <f t="shared" si="46"/>
        <v>120588</v>
      </c>
      <c r="S391" s="3">
        <f t="shared" si="47"/>
        <v>1360.4799999999959</v>
      </c>
      <c r="T391">
        <f t="shared" si="48"/>
        <v>1</v>
      </c>
    </row>
    <row r="392" spans="1:20" x14ac:dyDescent="0.25">
      <c r="A392" t="s">
        <v>1195</v>
      </c>
      <c r="B392" t="s">
        <v>807</v>
      </c>
      <c r="C392" s="1">
        <v>44570</v>
      </c>
      <c r="D392" s="1">
        <f>IF(E392="",C392+VLOOKUP(B392,Lembar2!$B$19:$C$24,2,FALSE),'Procurement Dataset'!E392)</f>
        <v>44580</v>
      </c>
      <c r="E392" s="1">
        <v>44580</v>
      </c>
      <c r="F392" t="s">
        <v>802</v>
      </c>
      <c r="G392" t="s">
        <v>796</v>
      </c>
      <c r="H392" s="5">
        <v>148</v>
      </c>
      <c r="I392" s="3">
        <v>93.02</v>
      </c>
      <c r="J392" s="3">
        <v>85.96</v>
      </c>
      <c r="K392" s="5">
        <f t="shared" si="43"/>
        <v>4</v>
      </c>
      <c r="L392">
        <v>4</v>
      </c>
      <c r="M392" t="s">
        <v>793</v>
      </c>
      <c r="N392">
        <f t="shared" si="42"/>
        <v>10</v>
      </c>
      <c r="O392" t="str">
        <f t="shared" si="44"/>
        <v>Valid</v>
      </c>
      <c r="P392" s="1" t="str">
        <f>IF(N392&gt;=(VLOOKUP(B392,Lembar2!$B$19:$C$24,2,FALSE)+7),"Delayed","Ontime")</f>
        <v>Ontime</v>
      </c>
      <c r="Q392" s="3">
        <f t="shared" si="45"/>
        <v>13766.96</v>
      </c>
      <c r="R392" s="3">
        <f t="shared" si="46"/>
        <v>12722.08</v>
      </c>
      <c r="S392" s="3">
        <f t="shared" si="47"/>
        <v>1044.8799999999992</v>
      </c>
      <c r="T392">
        <f t="shared" si="48"/>
        <v>1</v>
      </c>
    </row>
    <row r="393" spans="1:20" x14ac:dyDescent="0.25">
      <c r="A393" t="s">
        <v>1196</v>
      </c>
      <c r="B393" t="s">
        <v>795</v>
      </c>
      <c r="C393" s="1">
        <v>45245</v>
      </c>
      <c r="D393" s="1">
        <f>IF(E393="",C393+VLOOKUP(B393,Lembar2!$B$19:$C$24,2,FALSE),'Procurement Dataset'!E393)</f>
        <v>45253</v>
      </c>
      <c r="E393" s="1">
        <v>45253</v>
      </c>
      <c r="F393" t="s">
        <v>791</v>
      </c>
      <c r="G393" t="s">
        <v>796</v>
      </c>
      <c r="H393" s="5">
        <v>202</v>
      </c>
      <c r="I393" s="3">
        <v>81.75</v>
      </c>
      <c r="J393" s="3">
        <v>78.260000000000005</v>
      </c>
      <c r="K393" s="5">
        <f t="shared" si="43"/>
        <v>37</v>
      </c>
      <c r="L393">
        <v>37</v>
      </c>
      <c r="M393" t="s">
        <v>805</v>
      </c>
      <c r="N393">
        <f t="shared" si="42"/>
        <v>8</v>
      </c>
      <c r="O393" t="str">
        <f t="shared" si="44"/>
        <v>Valid</v>
      </c>
      <c r="P393" s="1" t="str">
        <f>IF(N393&gt;=(VLOOKUP(B393,Lembar2!$B$19:$C$24,2,FALSE)+7),"Delayed","Ontime")</f>
        <v>Ontime</v>
      </c>
      <c r="Q393" s="3">
        <f t="shared" si="45"/>
        <v>16513.5</v>
      </c>
      <c r="R393" s="3">
        <f t="shared" si="46"/>
        <v>15808.52</v>
      </c>
      <c r="S393" s="3">
        <f t="shared" si="47"/>
        <v>704.97999999999956</v>
      </c>
      <c r="T393">
        <f t="shared" si="48"/>
        <v>1</v>
      </c>
    </row>
    <row r="394" spans="1:20" x14ac:dyDescent="0.25">
      <c r="A394" t="s">
        <v>1197</v>
      </c>
      <c r="B394" t="s">
        <v>798</v>
      </c>
      <c r="C394" s="1">
        <v>45129</v>
      </c>
      <c r="D394" s="1">
        <f>IF(E394="",C394+VLOOKUP(B394,Lembar2!$B$19:$C$24,2,FALSE),'Procurement Dataset'!E394)</f>
        <v>45135</v>
      </c>
      <c r="E394" s="1">
        <v>45135</v>
      </c>
      <c r="F394" t="s">
        <v>802</v>
      </c>
      <c r="G394" t="s">
        <v>796</v>
      </c>
      <c r="H394" s="5">
        <v>1934</v>
      </c>
      <c r="I394" s="3">
        <v>25.86</v>
      </c>
      <c r="J394" s="3">
        <v>25.6</v>
      </c>
      <c r="K394" s="5">
        <f t="shared" si="43"/>
        <v>78</v>
      </c>
      <c r="L394">
        <v>78</v>
      </c>
      <c r="M394" t="s">
        <v>793</v>
      </c>
      <c r="N394">
        <f t="shared" si="42"/>
        <v>6</v>
      </c>
      <c r="O394" t="str">
        <f t="shared" si="44"/>
        <v>Valid</v>
      </c>
      <c r="P394" s="1" t="str">
        <f>IF(N394&gt;=(VLOOKUP(B394,Lembar2!$B$19:$C$24,2,FALSE)+7),"Delayed","Ontime")</f>
        <v>Ontime</v>
      </c>
      <c r="Q394" s="3">
        <f t="shared" si="45"/>
        <v>50013.24</v>
      </c>
      <c r="R394" s="3">
        <f t="shared" si="46"/>
        <v>49510.400000000001</v>
      </c>
      <c r="S394" s="3">
        <f t="shared" si="47"/>
        <v>502.83999999999651</v>
      </c>
      <c r="T394">
        <f t="shared" si="48"/>
        <v>1</v>
      </c>
    </row>
    <row r="395" spans="1:20" x14ac:dyDescent="0.25">
      <c r="A395" t="s">
        <v>1198</v>
      </c>
      <c r="B395" t="s">
        <v>790</v>
      </c>
      <c r="C395" s="1">
        <v>44868</v>
      </c>
      <c r="D395" s="1">
        <f>IF(E395="",C395+VLOOKUP(B395,Lembar2!$B$19:$C$24,2,FALSE),'Procurement Dataset'!E395)</f>
        <v>44872</v>
      </c>
      <c r="E395" s="1">
        <v>44872</v>
      </c>
      <c r="F395" t="s">
        <v>791</v>
      </c>
      <c r="G395" t="s">
        <v>796</v>
      </c>
      <c r="H395" s="5">
        <v>963</v>
      </c>
      <c r="I395" s="3">
        <v>64.959999999999994</v>
      </c>
      <c r="J395" s="3">
        <v>64.069999999999993</v>
      </c>
      <c r="K395" s="5">
        <f t="shared" si="43"/>
        <v>20</v>
      </c>
      <c r="L395">
        <v>20</v>
      </c>
      <c r="M395" t="s">
        <v>793</v>
      </c>
      <c r="N395">
        <f t="shared" si="42"/>
        <v>4</v>
      </c>
      <c r="O395" t="str">
        <f t="shared" si="44"/>
        <v>Valid</v>
      </c>
      <c r="P395" s="1" t="str">
        <f>IF(N395&gt;=(VLOOKUP(B395,Lembar2!$B$19:$C$24,2,FALSE)+7),"Delayed","Ontime")</f>
        <v>Ontime</v>
      </c>
      <c r="Q395" s="3">
        <f t="shared" si="45"/>
        <v>62556.479999999996</v>
      </c>
      <c r="R395" s="3">
        <f t="shared" si="46"/>
        <v>61699.409999999996</v>
      </c>
      <c r="S395" s="3">
        <f t="shared" si="47"/>
        <v>857.06999999999971</v>
      </c>
      <c r="T395">
        <f t="shared" si="48"/>
        <v>1</v>
      </c>
    </row>
    <row r="396" spans="1:20" x14ac:dyDescent="0.25">
      <c r="A396" t="s">
        <v>1199</v>
      </c>
      <c r="B396" t="s">
        <v>798</v>
      </c>
      <c r="C396" s="1">
        <v>45241</v>
      </c>
      <c r="D396" s="1">
        <f>IF(E396="",C396+VLOOKUP(B396,Lembar2!$B$19:$C$24,2,FALSE),'Procurement Dataset'!E396)</f>
        <v>45248</v>
      </c>
      <c r="E396" s="1">
        <v>45248</v>
      </c>
      <c r="F396" t="s">
        <v>799</v>
      </c>
      <c r="G396" t="s">
        <v>796</v>
      </c>
      <c r="H396" s="5">
        <v>1969</v>
      </c>
      <c r="I396" s="3">
        <v>71.709999999999994</v>
      </c>
      <c r="J396" s="3">
        <v>61.96</v>
      </c>
      <c r="K396" s="5">
        <f t="shared" si="43"/>
        <v>0</v>
      </c>
      <c r="M396" t="s">
        <v>793</v>
      </c>
      <c r="N396">
        <f t="shared" si="42"/>
        <v>7</v>
      </c>
      <c r="O396" t="str">
        <f t="shared" si="44"/>
        <v>Valid</v>
      </c>
      <c r="P396" s="1" t="str">
        <f>IF(N396&gt;=(VLOOKUP(B396,Lembar2!$B$19:$C$24,2,FALSE)+7),"Delayed","Ontime")</f>
        <v>Ontime</v>
      </c>
      <c r="Q396" s="3">
        <f t="shared" si="45"/>
        <v>141196.99</v>
      </c>
      <c r="R396" s="3">
        <f t="shared" si="46"/>
        <v>121999.24</v>
      </c>
      <c r="S396" s="3">
        <f t="shared" si="47"/>
        <v>19197.749999999985</v>
      </c>
      <c r="T396">
        <f t="shared" si="48"/>
        <v>1</v>
      </c>
    </row>
    <row r="397" spans="1:20" x14ac:dyDescent="0.25">
      <c r="A397" t="s">
        <v>1200</v>
      </c>
      <c r="B397" t="s">
        <v>795</v>
      </c>
      <c r="C397" s="1">
        <v>44668</v>
      </c>
      <c r="D397" s="1">
        <f>IF(E397="",C397+VLOOKUP(B397,Lembar2!$B$19:$C$24,2,FALSE),'Procurement Dataset'!E397)</f>
        <v>44679</v>
      </c>
      <c r="F397" t="s">
        <v>817</v>
      </c>
      <c r="G397" t="s">
        <v>796</v>
      </c>
      <c r="H397" s="5">
        <v>927</v>
      </c>
      <c r="I397" s="3">
        <v>48.89</v>
      </c>
      <c r="J397" s="3">
        <v>46.05</v>
      </c>
      <c r="K397" s="5">
        <f t="shared" si="43"/>
        <v>138</v>
      </c>
      <c r="L397">
        <v>138</v>
      </c>
      <c r="M397" t="s">
        <v>793</v>
      </c>
      <c r="N397" t="str">
        <f t="shared" si="42"/>
        <v/>
      </c>
      <c r="O397" t="str">
        <f t="shared" si="44"/>
        <v>Valid</v>
      </c>
      <c r="P397" s="1" t="str">
        <f>IF(N397&gt;=(VLOOKUP(B397,Lembar2!$B$19:$C$24,2,FALSE)+7),"Delayed","Ontime")</f>
        <v>Delayed</v>
      </c>
      <c r="Q397" s="3">
        <f t="shared" si="45"/>
        <v>45321.03</v>
      </c>
      <c r="R397" s="3">
        <f t="shared" si="46"/>
        <v>42688.35</v>
      </c>
      <c r="S397" s="3">
        <f t="shared" si="47"/>
        <v>2632.6800000000003</v>
      </c>
      <c r="T397">
        <f t="shared" si="48"/>
        <v>0</v>
      </c>
    </row>
    <row r="398" spans="1:20" x14ac:dyDescent="0.25">
      <c r="A398" t="s">
        <v>1201</v>
      </c>
      <c r="B398" t="s">
        <v>795</v>
      </c>
      <c r="C398" s="1">
        <v>44699</v>
      </c>
      <c r="D398" s="1">
        <f>IF(E398="",C398+VLOOKUP(B398,Lembar2!$B$19:$C$24,2,FALSE),'Procurement Dataset'!E398)</f>
        <v>44704</v>
      </c>
      <c r="E398" s="1">
        <v>44704</v>
      </c>
      <c r="F398" t="s">
        <v>804</v>
      </c>
      <c r="G398" t="s">
        <v>792</v>
      </c>
      <c r="H398" s="5">
        <v>387</v>
      </c>
      <c r="I398" s="3">
        <v>77.81</v>
      </c>
      <c r="J398" s="3">
        <v>69.040000000000006</v>
      </c>
      <c r="K398" s="5">
        <f t="shared" si="43"/>
        <v>67</v>
      </c>
      <c r="L398">
        <v>67</v>
      </c>
      <c r="M398" t="s">
        <v>793</v>
      </c>
      <c r="N398">
        <f t="shared" si="42"/>
        <v>5</v>
      </c>
      <c r="O398" t="str">
        <f t="shared" si="44"/>
        <v>Valid</v>
      </c>
      <c r="P398" s="1" t="str">
        <f>IF(N398&gt;=(VLOOKUP(B398,Lembar2!$B$19:$C$24,2,FALSE)+7),"Delayed","Ontime")</f>
        <v>Ontime</v>
      </c>
      <c r="Q398" s="3">
        <f t="shared" si="45"/>
        <v>30112.47</v>
      </c>
      <c r="R398" s="3">
        <f t="shared" si="46"/>
        <v>26718.480000000003</v>
      </c>
      <c r="S398" s="3">
        <f t="shared" si="47"/>
        <v>3393.989999999998</v>
      </c>
      <c r="T398">
        <f t="shared" si="48"/>
        <v>1</v>
      </c>
    </row>
    <row r="399" spans="1:20" x14ac:dyDescent="0.25">
      <c r="A399" t="s">
        <v>1202</v>
      </c>
      <c r="B399" t="s">
        <v>801</v>
      </c>
      <c r="C399" s="1">
        <v>44832</v>
      </c>
      <c r="D399" s="1">
        <f>IF(E399="",C399+VLOOKUP(B399,Lembar2!$B$19:$C$24,2,FALSE),'Procurement Dataset'!E399)</f>
        <v>44837</v>
      </c>
      <c r="E399" s="1">
        <v>44837</v>
      </c>
      <c r="F399" t="s">
        <v>817</v>
      </c>
      <c r="G399" t="s">
        <v>796</v>
      </c>
      <c r="H399" s="5">
        <v>1779</v>
      </c>
      <c r="I399" s="3">
        <v>97.86</v>
      </c>
      <c r="J399" s="3">
        <v>94.36</v>
      </c>
      <c r="K399" s="5">
        <f t="shared" si="43"/>
        <v>176</v>
      </c>
      <c r="L399">
        <v>176</v>
      </c>
      <c r="M399" t="s">
        <v>793</v>
      </c>
      <c r="N399">
        <f t="shared" si="42"/>
        <v>5</v>
      </c>
      <c r="O399" t="str">
        <f t="shared" si="44"/>
        <v>Valid</v>
      </c>
      <c r="P399" s="1" t="str">
        <f>IF(N399&gt;=(VLOOKUP(B399,Lembar2!$B$19:$C$24,2,FALSE)+7),"Delayed","Ontime")</f>
        <v>Ontime</v>
      </c>
      <c r="Q399" s="3">
        <f t="shared" si="45"/>
        <v>174092.94</v>
      </c>
      <c r="R399" s="3">
        <f t="shared" si="46"/>
        <v>167866.44</v>
      </c>
      <c r="S399" s="3">
        <f t="shared" si="47"/>
        <v>6226.5</v>
      </c>
      <c r="T399">
        <f t="shared" si="48"/>
        <v>1</v>
      </c>
    </row>
    <row r="400" spans="1:20" x14ac:dyDescent="0.25">
      <c r="A400" t="s">
        <v>1203</v>
      </c>
      <c r="B400" t="s">
        <v>798</v>
      </c>
      <c r="C400" s="1">
        <v>44680</v>
      </c>
      <c r="D400" s="1">
        <f>IF(E400="",C400+VLOOKUP(B400,Lembar2!$B$19:$C$24,2,FALSE),'Procurement Dataset'!E400)</f>
        <v>44686</v>
      </c>
      <c r="E400" s="1">
        <v>44686</v>
      </c>
      <c r="F400" t="s">
        <v>799</v>
      </c>
      <c r="G400" t="s">
        <v>813</v>
      </c>
      <c r="H400" s="5">
        <v>871</v>
      </c>
      <c r="I400" s="3">
        <v>94.7</v>
      </c>
      <c r="J400" s="3">
        <v>92.66</v>
      </c>
      <c r="K400" s="5">
        <f t="shared" si="43"/>
        <v>46</v>
      </c>
      <c r="L400">
        <v>46</v>
      </c>
      <c r="M400" t="s">
        <v>793</v>
      </c>
      <c r="N400">
        <f t="shared" si="42"/>
        <v>6</v>
      </c>
      <c r="O400" t="str">
        <f t="shared" si="44"/>
        <v>Valid</v>
      </c>
      <c r="P400" s="1" t="str">
        <f>IF(N400&gt;=(VLOOKUP(B400,Lembar2!$B$19:$C$24,2,FALSE)+7),"Delayed","Ontime")</f>
        <v>Ontime</v>
      </c>
      <c r="Q400" s="3">
        <f t="shared" si="45"/>
        <v>82483.7</v>
      </c>
      <c r="R400" s="3">
        <f t="shared" si="46"/>
        <v>80706.86</v>
      </c>
      <c r="S400" s="3">
        <f t="shared" si="47"/>
        <v>1776.8399999999965</v>
      </c>
      <c r="T400">
        <f t="shared" si="48"/>
        <v>1</v>
      </c>
    </row>
    <row r="401" spans="1:20" x14ac:dyDescent="0.25">
      <c r="A401" t="s">
        <v>1204</v>
      </c>
      <c r="B401" t="s">
        <v>807</v>
      </c>
      <c r="C401" s="1">
        <v>44671</v>
      </c>
      <c r="D401" s="1">
        <f>IF(E401="",C401+VLOOKUP(B401,Lembar2!$B$19:$C$24,2,FALSE),'Procurement Dataset'!E401)</f>
        <v>44674</v>
      </c>
      <c r="E401" s="1">
        <v>44674</v>
      </c>
      <c r="F401" t="s">
        <v>817</v>
      </c>
      <c r="G401" t="s">
        <v>796</v>
      </c>
      <c r="H401" s="5">
        <v>1236</v>
      </c>
      <c r="I401" s="3">
        <v>51.33</v>
      </c>
      <c r="J401" s="3">
        <v>44.03</v>
      </c>
      <c r="K401" s="5">
        <f t="shared" si="43"/>
        <v>25</v>
      </c>
      <c r="L401">
        <v>25</v>
      </c>
      <c r="M401" t="s">
        <v>793</v>
      </c>
      <c r="N401">
        <f t="shared" si="42"/>
        <v>3</v>
      </c>
      <c r="O401" t="str">
        <f t="shared" si="44"/>
        <v>Valid</v>
      </c>
      <c r="P401" s="1" t="str">
        <f>IF(N401&gt;=(VLOOKUP(B401,Lembar2!$B$19:$C$24,2,FALSE)+7),"Delayed","Ontime")</f>
        <v>Ontime</v>
      </c>
      <c r="Q401" s="3">
        <f t="shared" si="45"/>
        <v>63443.88</v>
      </c>
      <c r="R401" s="3">
        <f t="shared" si="46"/>
        <v>54421.08</v>
      </c>
      <c r="S401" s="3">
        <f t="shared" si="47"/>
        <v>9022.7999999999956</v>
      </c>
      <c r="T401">
        <f t="shared" si="48"/>
        <v>1</v>
      </c>
    </row>
    <row r="402" spans="1:20" x14ac:dyDescent="0.25">
      <c r="A402" t="s">
        <v>1205</v>
      </c>
      <c r="B402" t="s">
        <v>795</v>
      </c>
      <c r="C402" s="1">
        <v>45128</v>
      </c>
      <c r="D402" s="1">
        <f>IF(E402="",C402+VLOOKUP(B402,Lembar2!$B$19:$C$24,2,FALSE),'Procurement Dataset'!E402)</f>
        <v>45144</v>
      </c>
      <c r="E402" s="1">
        <v>45144</v>
      </c>
      <c r="F402" t="s">
        <v>817</v>
      </c>
      <c r="G402" t="s">
        <v>796</v>
      </c>
      <c r="H402" s="5">
        <v>1793</v>
      </c>
      <c r="I402" s="3">
        <v>22.01</v>
      </c>
      <c r="J402" s="3">
        <v>21.78</v>
      </c>
      <c r="K402" s="5">
        <f t="shared" si="43"/>
        <v>285</v>
      </c>
      <c r="L402">
        <v>285</v>
      </c>
      <c r="M402" t="s">
        <v>793</v>
      </c>
      <c r="N402">
        <f t="shared" si="42"/>
        <v>16</v>
      </c>
      <c r="O402" t="str">
        <f t="shared" si="44"/>
        <v>Valid</v>
      </c>
      <c r="P402" s="1" t="str">
        <f>IF(N402&gt;=(VLOOKUP(B402,Lembar2!$B$19:$C$24,2,FALSE)+7),"Delayed","Ontime")</f>
        <v>Ontime</v>
      </c>
      <c r="Q402" s="3">
        <f t="shared" si="45"/>
        <v>39463.93</v>
      </c>
      <c r="R402" s="3">
        <f t="shared" si="46"/>
        <v>39051.54</v>
      </c>
      <c r="S402" s="3">
        <f t="shared" si="47"/>
        <v>412.38999999999942</v>
      </c>
      <c r="T402">
        <f t="shared" si="48"/>
        <v>1</v>
      </c>
    </row>
    <row r="403" spans="1:20" x14ac:dyDescent="0.25">
      <c r="A403" t="s">
        <v>1206</v>
      </c>
      <c r="B403" t="s">
        <v>795</v>
      </c>
      <c r="C403" s="1">
        <v>44721</v>
      </c>
      <c r="D403" s="1">
        <f>IF(E403="",C403+VLOOKUP(B403,Lembar2!$B$19:$C$24,2,FALSE),'Procurement Dataset'!E403)</f>
        <v>44740</v>
      </c>
      <c r="E403" s="1">
        <v>44740</v>
      </c>
      <c r="F403" t="s">
        <v>799</v>
      </c>
      <c r="G403" t="s">
        <v>796</v>
      </c>
      <c r="H403" s="5">
        <v>1006</v>
      </c>
      <c r="I403" s="3">
        <v>101.1</v>
      </c>
      <c r="J403" s="3">
        <v>89.04</v>
      </c>
      <c r="K403" s="5">
        <f t="shared" si="43"/>
        <v>139</v>
      </c>
      <c r="L403">
        <v>139</v>
      </c>
      <c r="M403" t="s">
        <v>793</v>
      </c>
      <c r="N403">
        <f t="shared" si="42"/>
        <v>19</v>
      </c>
      <c r="O403" t="str">
        <f t="shared" si="44"/>
        <v>Valid</v>
      </c>
      <c r="P403" s="1" t="str">
        <f>IF(N403&gt;=(VLOOKUP(B403,Lembar2!$B$19:$C$24,2,FALSE)+7),"Delayed","Ontime")</f>
        <v>Delayed</v>
      </c>
      <c r="Q403" s="3">
        <f t="shared" si="45"/>
        <v>101706.59999999999</v>
      </c>
      <c r="R403" s="3">
        <f t="shared" si="46"/>
        <v>89574.24</v>
      </c>
      <c r="S403" s="3">
        <f t="shared" si="47"/>
        <v>12132.359999999986</v>
      </c>
      <c r="T403">
        <f t="shared" si="48"/>
        <v>0</v>
      </c>
    </row>
    <row r="404" spans="1:20" x14ac:dyDescent="0.25">
      <c r="A404" t="s">
        <v>1207</v>
      </c>
      <c r="B404" t="s">
        <v>801</v>
      </c>
      <c r="C404" s="1">
        <v>44840</v>
      </c>
      <c r="D404" s="1">
        <f>IF(E404="",C404+VLOOKUP(B404,Lembar2!$B$19:$C$24,2,FALSE),'Procurement Dataset'!E404)</f>
        <v>44855</v>
      </c>
      <c r="E404" s="1">
        <v>44855</v>
      </c>
      <c r="F404" t="s">
        <v>817</v>
      </c>
      <c r="G404" t="s">
        <v>792</v>
      </c>
      <c r="H404" s="5">
        <v>1754</v>
      </c>
      <c r="I404" s="3">
        <v>89.35</v>
      </c>
      <c r="J404" s="3">
        <v>86.54</v>
      </c>
      <c r="K404" s="5">
        <f t="shared" si="43"/>
        <v>161</v>
      </c>
      <c r="L404">
        <v>161</v>
      </c>
      <c r="M404" t="s">
        <v>805</v>
      </c>
      <c r="N404">
        <f t="shared" si="42"/>
        <v>15</v>
      </c>
      <c r="O404" t="str">
        <f t="shared" si="44"/>
        <v>Valid</v>
      </c>
      <c r="P404" s="1" t="str">
        <f>IF(N404&gt;=(VLOOKUP(B404,Lembar2!$B$19:$C$24,2,FALSE)+7),"Delayed","Ontime")</f>
        <v>Ontime</v>
      </c>
      <c r="Q404" s="3">
        <f t="shared" si="45"/>
        <v>156719.9</v>
      </c>
      <c r="R404" s="3">
        <f t="shared" si="46"/>
        <v>151791.16</v>
      </c>
      <c r="S404" s="3">
        <f t="shared" si="47"/>
        <v>4928.7399999999907</v>
      </c>
      <c r="T404">
        <f t="shared" si="48"/>
        <v>1</v>
      </c>
    </row>
    <row r="405" spans="1:20" x14ac:dyDescent="0.25">
      <c r="A405" t="s">
        <v>1208</v>
      </c>
      <c r="B405" t="s">
        <v>807</v>
      </c>
      <c r="C405" s="1">
        <v>44850</v>
      </c>
      <c r="D405" s="1">
        <f>IF(E405="",C405+VLOOKUP(B405,Lembar2!$B$19:$C$24,2,FALSE),'Procurement Dataset'!E405)</f>
        <v>44869</v>
      </c>
      <c r="E405" s="1">
        <v>44869</v>
      </c>
      <c r="F405" t="s">
        <v>817</v>
      </c>
      <c r="G405" t="s">
        <v>796</v>
      </c>
      <c r="H405" s="5">
        <v>210</v>
      </c>
      <c r="I405" s="3">
        <v>22.17</v>
      </c>
      <c r="J405" s="3">
        <v>21.32</v>
      </c>
      <c r="K405" s="5">
        <f t="shared" si="43"/>
        <v>10</v>
      </c>
      <c r="L405">
        <v>10</v>
      </c>
      <c r="M405" t="s">
        <v>793</v>
      </c>
      <c r="N405">
        <f t="shared" si="42"/>
        <v>19</v>
      </c>
      <c r="O405" t="str">
        <f t="shared" si="44"/>
        <v>Valid</v>
      </c>
      <c r="P405" s="1" t="str">
        <f>IF(N405&gt;=(VLOOKUP(B405,Lembar2!$B$19:$C$24,2,FALSE)+7),"Delayed","Ontime")</f>
        <v>Delayed</v>
      </c>
      <c r="Q405" s="3">
        <f t="shared" si="45"/>
        <v>4655.7000000000007</v>
      </c>
      <c r="R405" s="3">
        <f t="shared" si="46"/>
        <v>4477.2</v>
      </c>
      <c r="S405" s="3">
        <f t="shared" si="47"/>
        <v>178.50000000000091</v>
      </c>
      <c r="T405">
        <f t="shared" si="48"/>
        <v>0</v>
      </c>
    </row>
    <row r="406" spans="1:20" x14ac:dyDescent="0.25">
      <c r="A406" t="s">
        <v>1209</v>
      </c>
      <c r="B406" t="s">
        <v>795</v>
      </c>
      <c r="C406" s="1">
        <v>45181</v>
      </c>
      <c r="D406" s="1">
        <f>IF(E406="",C406+VLOOKUP(B406,Lembar2!$B$19:$C$24,2,FALSE),'Procurement Dataset'!E406)</f>
        <v>45201</v>
      </c>
      <c r="E406" s="1">
        <v>45201</v>
      </c>
      <c r="F406" t="s">
        <v>799</v>
      </c>
      <c r="G406" t="s">
        <v>796</v>
      </c>
      <c r="H406" s="5">
        <v>1653</v>
      </c>
      <c r="I406" s="3">
        <v>102.16</v>
      </c>
      <c r="J406" s="3">
        <v>91.91</v>
      </c>
      <c r="K406" s="5">
        <f t="shared" si="43"/>
        <v>217</v>
      </c>
      <c r="L406">
        <v>217</v>
      </c>
      <c r="M406" t="s">
        <v>793</v>
      </c>
      <c r="N406">
        <f t="shared" si="42"/>
        <v>20</v>
      </c>
      <c r="O406" t="str">
        <f t="shared" si="44"/>
        <v>Valid</v>
      </c>
      <c r="P406" s="1" t="str">
        <f>IF(N406&gt;=(VLOOKUP(B406,Lembar2!$B$19:$C$24,2,FALSE)+7),"Delayed","Ontime")</f>
        <v>Delayed</v>
      </c>
      <c r="Q406" s="3">
        <f t="shared" si="45"/>
        <v>168870.47999999998</v>
      </c>
      <c r="R406" s="3">
        <f t="shared" si="46"/>
        <v>151927.22999999998</v>
      </c>
      <c r="S406" s="3">
        <f t="shared" si="47"/>
        <v>16943.25</v>
      </c>
      <c r="T406">
        <f t="shared" si="48"/>
        <v>0</v>
      </c>
    </row>
    <row r="407" spans="1:20" x14ac:dyDescent="0.25">
      <c r="A407" t="s">
        <v>1210</v>
      </c>
      <c r="B407" t="s">
        <v>790</v>
      </c>
      <c r="C407" s="1">
        <v>44777</v>
      </c>
      <c r="D407" s="1">
        <f>IF(E407="",C407+VLOOKUP(B407,Lembar2!$B$19:$C$24,2,FALSE),'Procurement Dataset'!E407)</f>
        <v>44788</v>
      </c>
      <c r="E407" s="1">
        <v>44788</v>
      </c>
      <c r="F407" t="s">
        <v>799</v>
      </c>
      <c r="G407" t="s">
        <v>811</v>
      </c>
      <c r="H407" s="5">
        <v>850</v>
      </c>
      <c r="I407" s="3">
        <v>91.38</v>
      </c>
      <c r="J407" s="3">
        <v>88.41</v>
      </c>
      <c r="K407" s="5">
        <f t="shared" si="43"/>
        <v>24</v>
      </c>
      <c r="L407">
        <v>24</v>
      </c>
      <c r="M407" t="s">
        <v>793</v>
      </c>
      <c r="N407">
        <f t="shared" si="42"/>
        <v>11</v>
      </c>
      <c r="O407" t="str">
        <f t="shared" si="44"/>
        <v>Valid</v>
      </c>
      <c r="P407" s="1" t="str">
        <f>IF(N407&gt;=(VLOOKUP(B407,Lembar2!$B$19:$C$24,2,FALSE)+7),"Delayed","Ontime")</f>
        <v>Ontime</v>
      </c>
      <c r="Q407" s="3">
        <f t="shared" si="45"/>
        <v>77673</v>
      </c>
      <c r="R407" s="3">
        <f t="shared" si="46"/>
        <v>75148.5</v>
      </c>
      <c r="S407" s="3">
        <f t="shared" si="47"/>
        <v>2524.5</v>
      </c>
      <c r="T407">
        <f t="shared" si="48"/>
        <v>1</v>
      </c>
    </row>
    <row r="408" spans="1:20" x14ac:dyDescent="0.25">
      <c r="A408" t="s">
        <v>1211</v>
      </c>
      <c r="B408" t="s">
        <v>807</v>
      </c>
      <c r="C408" s="1">
        <v>44913</v>
      </c>
      <c r="D408" s="1">
        <f>IF(E408="",C408+VLOOKUP(B408,Lembar2!$B$19:$C$24,2,FALSE),'Procurement Dataset'!E408)</f>
        <v>44916</v>
      </c>
      <c r="E408" s="1">
        <v>44916</v>
      </c>
      <c r="F408" t="s">
        <v>804</v>
      </c>
      <c r="G408" t="s">
        <v>796</v>
      </c>
      <c r="H408" s="5">
        <v>447</v>
      </c>
      <c r="I408" s="3">
        <v>59.81</v>
      </c>
      <c r="J408" s="3">
        <v>57.92</v>
      </c>
      <c r="K408" s="5">
        <f t="shared" si="43"/>
        <v>13</v>
      </c>
      <c r="L408">
        <v>13</v>
      </c>
      <c r="M408" t="s">
        <v>793</v>
      </c>
      <c r="N408">
        <f t="shared" si="42"/>
        <v>3</v>
      </c>
      <c r="O408" t="str">
        <f t="shared" si="44"/>
        <v>Valid</v>
      </c>
      <c r="P408" s="1" t="str">
        <f>IF(N408&gt;=(VLOOKUP(B408,Lembar2!$B$19:$C$24,2,FALSE)+7),"Delayed","Ontime")</f>
        <v>Ontime</v>
      </c>
      <c r="Q408" s="3">
        <f t="shared" si="45"/>
        <v>26735.07</v>
      </c>
      <c r="R408" s="3">
        <f t="shared" si="46"/>
        <v>25890.240000000002</v>
      </c>
      <c r="S408" s="3">
        <f t="shared" si="47"/>
        <v>844.82999999999811</v>
      </c>
      <c r="T408">
        <f t="shared" si="48"/>
        <v>1</v>
      </c>
    </row>
    <row r="409" spans="1:20" x14ac:dyDescent="0.25">
      <c r="A409" t="s">
        <v>1212</v>
      </c>
      <c r="B409" t="s">
        <v>798</v>
      </c>
      <c r="C409" s="1">
        <v>44770</v>
      </c>
      <c r="D409" s="1">
        <f>IF(E409="",C409+VLOOKUP(B409,Lembar2!$B$19:$C$24,2,FALSE),'Procurement Dataset'!E409)</f>
        <v>44780</v>
      </c>
      <c r="E409" s="1">
        <v>44780</v>
      </c>
      <c r="F409" t="s">
        <v>791</v>
      </c>
      <c r="G409" t="s">
        <v>796</v>
      </c>
      <c r="H409" s="5">
        <v>1350</v>
      </c>
      <c r="I409" s="3">
        <v>65.11</v>
      </c>
      <c r="J409" s="3">
        <v>56.95</v>
      </c>
      <c r="K409" s="5">
        <f t="shared" si="43"/>
        <v>71</v>
      </c>
      <c r="L409">
        <v>71</v>
      </c>
      <c r="M409" t="s">
        <v>793</v>
      </c>
      <c r="N409">
        <f t="shared" si="42"/>
        <v>10</v>
      </c>
      <c r="O409" t="str">
        <f t="shared" si="44"/>
        <v>Valid</v>
      </c>
      <c r="P409" s="1" t="str">
        <f>IF(N409&gt;=(VLOOKUP(B409,Lembar2!$B$19:$C$24,2,FALSE)+7),"Delayed","Ontime")</f>
        <v>Ontime</v>
      </c>
      <c r="Q409" s="3">
        <f t="shared" si="45"/>
        <v>87898.5</v>
      </c>
      <c r="R409" s="3">
        <f t="shared" si="46"/>
        <v>76882.5</v>
      </c>
      <c r="S409" s="3">
        <f t="shared" si="47"/>
        <v>11016</v>
      </c>
      <c r="T409">
        <f t="shared" si="48"/>
        <v>1</v>
      </c>
    </row>
    <row r="410" spans="1:20" x14ac:dyDescent="0.25">
      <c r="A410" t="s">
        <v>1213</v>
      </c>
      <c r="B410" t="s">
        <v>801</v>
      </c>
      <c r="C410" s="1">
        <v>45265</v>
      </c>
      <c r="D410" s="1">
        <f>IF(E410="",C410+VLOOKUP(B410,Lembar2!$B$19:$C$24,2,FALSE),'Procurement Dataset'!E410)</f>
        <v>45284</v>
      </c>
      <c r="E410" s="1">
        <v>45284</v>
      </c>
      <c r="F410" t="s">
        <v>791</v>
      </c>
      <c r="G410" t="s">
        <v>796</v>
      </c>
      <c r="H410" s="5">
        <v>865</v>
      </c>
      <c r="I410" s="3">
        <v>51.19</v>
      </c>
      <c r="J410" s="3">
        <v>47.76</v>
      </c>
      <c r="K410" s="5">
        <f t="shared" si="43"/>
        <v>83</v>
      </c>
      <c r="L410">
        <v>83</v>
      </c>
      <c r="M410" t="s">
        <v>793</v>
      </c>
      <c r="N410">
        <f t="shared" si="42"/>
        <v>19</v>
      </c>
      <c r="O410" t="str">
        <f t="shared" si="44"/>
        <v>Valid</v>
      </c>
      <c r="P410" s="1" t="str">
        <f>IF(N410&gt;=(VLOOKUP(B410,Lembar2!$B$19:$C$24,2,FALSE)+7),"Delayed","Ontime")</f>
        <v>Delayed</v>
      </c>
      <c r="Q410" s="3">
        <f t="shared" si="45"/>
        <v>44279.35</v>
      </c>
      <c r="R410" s="3">
        <f t="shared" si="46"/>
        <v>41312.400000000001</v>
      </c>
      <c r="S410" s="3">
        <f t="shared" si="47"/>
        <v>2966.9499999999971</v>
      </c>
      <c r="T410">
        <f t="shared" si="48"/>
        <v>0</v>
      </c>
    </row>
    <row r="411" spans="1:20" x14ac:dyDescent="0.25">
      <c r="A411" t="s">
        <v>1214</v>
      </c>
      <c r="B411" t="s">
        <v>790</v>
      </c>
      <c r="C411" s="1">
        <v>45211</v>
      </c>
      <c r="D411" s="1">
        <f>IF(E411="",C411+VLOOKUP(B411,Lembar2!$B$19:$C$24,2,FALSE),'Procurement Dataset'!E411)</f>
        <v>45228</v>
      </c>
      <c r="E411" s="1">
        <v>45228</v>
      </c>
      <c r="F411" t="s">
        <v>799</v>
      </c>
      <c r="G411" t="s">
        <v>796</v>
      </c>
      <c r="H411" s="5">
        <v>1989</v>
      </c>
      <c r="I411" s="3">
        <v>16.5</v>
      </c>
      <c r="J411" s="3">
        <v>15.89</v>
      </c>
      <c r="K411" s="5">
        <f t="shared" si="43"/>
        <v>57</v>
      </c>
      <c r="L411">
        <v>57</v>
      </c>
      <c r="M411" t="s">
        <v>793</v>
      </c>
      <c r="N411">
        <f t="shared" si="42"/>
        <v>17</v>
      </c>
      <c r="O411" t="str">
        <f t="shared" si="44"/>
        <v>Valid</v>
      </c>
      <c r="P411" s="1" t="str">
        <f>IF(N411&gt;=(VLOOKUP(B411,Lembar2!$B$19:$C$24,2,FALSE)+7),"Delayed","Ontime")</f>
        <v>Ontime</v>
      </c>
      <c r="Q411" s="3">
        <f t="shared" si="45"/>
        <v>32818.5</v>
      </c>
      <c r="R411" s="3">
        <f t="shared" si="46"/>
        <v>31605.210000000003</v>
      </c>
      <c r="S411" s="3">
        <f t="shared" si="47"/>
        <v>1213.2899999999972</v>
      </c>
      <c r="T411">
        <f t="shared" si="48"/>
        <v>1</v>
      </c>
    </row>
    <row r="412" spans="1:20" x14ac:dyDescent="0.25">
      <c r="A412" t="s">
        <v>1215</v>
      </c>
      <c r="B412" t="s">
        <v>790</v>
      </c>
      <c r="C412" s="1">
        <v>44832</v>
      </c>
      <c r="D412" s="1">
        <f>IF(E412="",C412+VLOOKUP(B412,Lembar2!$B$19:$C$24,2,FALSE),'Procurement Dataset'!E412)</f>
        <v>44847</v>
      </c>
      <c r="E412" s="1">
        <v>44847</v>
      </c>
      <c r="F412" t="s">
        <v>791</v>
      </c>
      <c r="G412" t="s">
        <v>796</v>
      </c>
      <c r="H412" s="5">
        <v>1577</v>
      </c>
      <c r="I412" s="3">
        <v>41.77</v>
      </c>
      <c r="J412" s="3">
        <v>39.58</v>
      </c>
      <c r="K412" s="5">
        <f t="shared" si="43"/>
        <v>32</v>
      </c>
      <c r="L412">
        <v>32</v>
      </c>
      <c r="M412" t="s">
        <v>793</v>
      </c>
      <c r="N412">
        <f t="shared" si="42"/>
        <v>15</v>
      </c>
      <c r="O412" t="str">
        <f t="shared" si="44"/>
        <v>Valid</v>
      </c>
      <c r="P412" s="1" t="str">
        <f>IF(N412&gt;=(VLOOKUP(B412,Lembar2!$B$19:$C$24,2,FALSE)+7),"Delayed","Ontime")</f>
        <v>Ontime</v>
      </c>
      <c r="Q412" s="3">
        <f t="shared" si="45"/>
        <v>65871.290000000008</v>
      </c>
      <c r="R412" s="3">
        <f t="shared" si="46"/>
        <v>62417.659999999996</v>
      </c>
      <c r="S412" s="3">
        <f t="shared" si="47"/>
        <v>3453.6300000000119</v>
      </c>
      <c r="T412">
        <f t="shared" si="48"/>
        <v>1</v>
      </c>
    </row>
    <row r="413" spans="1:20" x14ac:dyDescent="0.25">
      <c r="A413" t="s">
        <v>1216</v>
      </c>
      <c r="B413" t="s">
        <v>798</v>
      </c>
      <c r="C413" s="1">
        <v>45079</v>
      </c>
      <c r="D413" s="1">
        <f>IF(E413="",C413+VLOOKUP(B413,Lembar2!$B$19:$C$24,2,FALSE),'Procurement Dataset'!E413)</f>
        <v>45081</v>
      </c>
      <c r="E413" s="1">
        <v>45081</v>
      </c>
      <c r="F413" t="s">
        <v>802</v>
      </c>
      <c r="G413" t="s">
        <v>813</v>
      </c>
      <c r="H413" s="5">
        <v>1969</v>
      </c>
      <c r="I413" s="3">
        <v>89.25</v>
      </c>
      <c r="J413" s="3">
        <v>87.28</v>
      </c>
      <c r="K413" s="5">
        <f t="shared" si="43"/>
        <v>108</v>
      </c>
      <c r="L413">
        <v>108</v>
      </c>
      <c r="M413" t="s">
        <v>805</v>
      </c>
      <c r="N413">
        <f t="shared" si="42"/>
        <v>2</v>
      </c>
      <c r="O413" t="str">
        <f t="shared" si="44"/>
        <v>Valid</v>
      </c>
      <c r="P413" s="1" t="str">
        <f>IF(N413&gt;=(VLOOKUP(B413,Lembar2!$B$19:$C$24,2,FALSE)+7),"Delayed","Ontime")</f>
        <v>Ontime</v>
      </c>
      <c r="Q413" s="3">
        <f t="shared" si="45"/>
        <v>175733.25</v>
      </c>
      <c r="R413" s="3">
        <f t="shared" si="46"/>
        <v>171854.32</v>
      </c>
      <c r="S413" s="3">
        <f t="shared" si="47"/>
        <v>3878.929999999993</v>
      </c>
      <c r="T413">
        <f t="shared" si="48"/>
        <v>1</v>
      </c>
    </row>
    <row r="414" spans="1:20" x14ac:dyDescent="0.25">
      <c r="A414" t="s">
        <v>1217</v>
      </c>
      <c r="B414" t="s">
        <v>801</v>
      </c>
      <c r="C414" s="1">
        <v>45062</v>
      </c>
      <c r="D414" s="1">
        <f>IF(E414="",C414+VLOOKUP(B414,Lembar2!$B$19:$C$24,2,FALSE),'Procurement Dataset'!E414)</f>
        <v>45072</v>
      </c>
      <c r="E414" s="1">
        <v>45072</v>
      </c>
      <c r="F414" t="s">
        <v>802</v>
      </c>
      <c r="G414" t="s">
        <v>811</v>
      </c>
      <c r="H414" s="5">
        <v>1465</v>
      </c>
      <c r="I414" s="3">
        <v>11.25</v>
      </c>
      <c r="J414" s="3">
        <v>9.61</v>
      </c>
      <c r="K414" s="5">
        <f t="shared" si="43"/>
        <v>151</v>
      </c>
      <c r="L414">
        <v>151</v>
      </c>
      <c r="M414" t="s">
        <v>793</v>
      </c>
      <c r="N414">
        <f t="shared" si="42"/>
        <v>10</v>
      </c>
      <c r="O414" t="str">
        <f t="shared" si="44"/>
        <v>Valid</v>
      </c>
      <c r="P414" s="1" t="str">
        <f>IF(N414&gt;=(VLOOKUP(B414,Lembar2!$B$19:$C$24,2,FALSE)+7),"Delayed","Ontime")</f>
        <v>Ontime</v>
      </c>
      <c r="Q414" s="3">
        <f t="shared" si="45"/>
        <v>16481.25</v>
      </c>
      <c r="R414" s="3">
        <f t="shared" si="46"/>
        <v>14078.65</v>
      </c>
      <c r="S414" s="3">
        <f t="shared" si="47"/>
        <v>2402.6000000000004</v>
      </c>
      <c r="T414">
        <f t="shared" si="48"/>
        <v>1</v>
      </c>
    </row>
    <row r="415" spans="1:20" x14ac:dyDescent="0.25">
      <c r="A415" t="s">
        <v>1218</v>
      </c>
      <c r="B415" t="s">
        <v>795</v>
      </c>
      <c r="C415" s="1">
        <v>44819</v>
      </c>
      <c r="D415" s="1">
        <f>IF(E415="",C415+VLOOKUP(B415,Lembar2!$B$19:$C$24,2,FALSE),'Procurement Dataset'!E415)</f>
        <v>44822</v>
      </c>
      <c r="E415" s="1">
        <v>44822</v>
      </c>
      <c r="F415" t="s">
        <v>802</v>
      </c>
      <c r="G415" t="s">
        <v>813</v>
      </c>
      <c r="H415" s="5">
        <v>1208</v>
      </c>
      <c r="I415" s="3">
        <v>41.62</v>
      </c>
      <c r="J415" s="3">
        <v>39.46</v>
      </c>
      <c r="K415" s="5">
        <f t="shared" si="43"/>
        <v>0</v>
      </c>
      <c r="M415" t="s">
        <v>793</v>
      </c>
      <c r="N415">
        <f t="shared" si="42"/>
        <v>3</v>
      </c>
      <c r="O415" t="str">
        <f t="shared" si="44"/>
        <v>Valid</v>
      </c>
      <c r="P415" s="1" t="str">
        <f>IF(N415&gt;=(VLOOKUP(B415,Lembar2!$B$19:$C$24,2,FALSE)+7),"Delayed","Ontime")</f>
        <v>Ontime</v>
      </c>
      <c r="Q415" s="3">
        <f t="shared" si="45"/>
        <v>50276.959999999999</v>
      </c>
      <c r="R415" s="3">
        <f t="shared" si="46"/>
        <v>47667.68</v>
      </c>
      <c r="S415" s="3">
        <f t="shared" si="47"/>
        <v>2609.2799999999988</v>
      </c>
      <c r="T415">
        <f t="shared" si="48"/>
        <v>1</v>
      </c>
    </row>
    <row r="416" spans="1:20" x14ac:dyDescent="0.25">
      <c r="A416" t="s">
        <v>1219</v>
      </c>
      <c r="B416" t="s">
        <v>801</v>
      </c>
      <c r="C416" s="1">
        <v>44614</v>
      </c>
      <c r="D416" s="1">
        <f>IF(E416="",C416+VLOOKUP(B416,Lembar2!$B$19:$C$24,2,FALSE),'Procurement Dataset'!E416)</f>
        <v>44631</v>
      </c>
      <c r="E416" s="1">
        <v>44631</v>
      </c>
      <c r="F416" t="s">
        <v>804</v>
      </c>
      <c r="G416" t="s">
        <v>796</v>
      </c>
      <c r="H416" s="5">
        <v>1268</v>
      </c>
      <c r="I416" s="3">
        <v>46.06</v>
      </c>
      <c r="J416" s="3">
        <v>45.26</v>
      </c>
      <c r="K416" s="5">
        <f t="shared" si="43"/>
        <v>123</v>
      </c>
      <c r="L416">
        <v>123</v>
      </c>
      <c r="M416" t="s">
        <v>793</v>
      </c>
      <c r="N416">
        <f t="shared" si="42"/>
        <v>17</v>
      </c>
      <c r="O416" t="str">
        <f t="shared" si="44"/>
        <v>Valid</v>
      </c>
      <c r="P416" s="1" t="str">
        <f>IF(N416&gt;=(VLOOKUP(B416,Lembar2!$B$19:$C$24,2,FALSE)+7),"Delayed","Ontime")</f>
        <v>Ontime</v>
      </c>
      <c r="Q416" s="3">
        <f t="shared" si="45"/>
        <v>58404.08</v>
      </c>
      <c r="R416" s="3">
        <f t="shared" si="46"/>
        <v>57389.68</v>
      </c>
      <c r="S416" s="3">
        <f t="shared" si="47"/>
        <v>1014.4000000000015</v>
      </c>
      <c r="T416">
        <f t="shared" si="48"/>
        <v>1</v>
      </c>
    </row>
    <row r="417" spans="1:20" x14ac:dyDescent="0.25">
      <c r="A417" t="s">
        <v>1220</v>
      </c>
      <c r="B417" t="s">
        <v>795</v>
      </c>
      <c r="C417" s="1">
        <v>44656</v>
      </c>
      <c r="D417" s="1">
        <f>IF(E417="",C417+VLOOKUP(B417,Lembar2!$B$19:$C$24,2,FALSE),'Procurement Dataset'!E417)</f>
        <v>44675</v>
      </c>
      <c r="E417" s="1">
        <v>44675</v>
      </c>
      <c r="F417" t="s">
        <v>791</v>
      </c>
      <c r="G417" t="s">
        <v>796</v>
      </c>
      <c r="H417" s="5">
        <v>450</v>
      </c>
      <c r="I417" s="3">
        <v>59.24</v>
      </c>
      <c r="J417" s="3">
        <v>55.03</v>
      </c>
      <c r="K417" s="5">
        <f t="shared" si="43"/>
        <v>68</v>
      </c>
      <c r="L417">
        <v>68</v>
      </c>
      <c r="M417" t="s">
        <v>805</v>
      </c>
      <c r="N417">
        <f t="shared" si="42"/>
        <v>19</v>
      </c>
      <c r="O417" t="str">
        <f t="shared" si="44"/>
        <v>Valid</v>
      </c>
      <c r="P417" s="1" t="str">
        <f>IF(N417&gt;=(VLOOKUP(B417,Lembar2!$B$19:$C$24,2,FALSE)+7),"Delayed","Ontime")</f>
        <v>Delayed</v>
      </c>
      <c r="Q417" s="3">
        <f t="shared" si="45"/>
        <v>26658</v>
      </c>
      <c r="R417" s="3">
        <f t="shared" si="46"/>
        <v>24763.5</v>
      </c>
      <c r="S417" s="3">
        <f t="shared" si="47"/>
        <v>1894.5</v>
      </c>
      <c r="T417">
        <f t="shared" si="48"/>
        <v>0</v>
      </c>
    </row>
    <row r="418" spans="1:20" x14ac:dyDescent="0.25">
      <c r="A418" t="s">
        <v>1221</v>
      </c>
      <c r="B418" t="s">
        <v>798</v>
      </c>
      <c r="C418" s="1">
        <v>45211</v>
      </c>
      <c r="D418" s="1">
        <f>IF(E418="",C418+VLOOKUP(B418,Lembar2!$B$19:$C$24,2,FALSE),'Procurement Dataset'!E418)</f>
        <v>45213</v>
      </c>
      <c r="E418" s="1">
        <v>45213</v>
      </c>
      <c r="F418" t="s">
        <v>817</v>
      </c>
      <c r="G418" t="s">
        <v>811</v>
      </c>
      <c r="H418" s="5">
        <v>689</v>
      </c>
      <c r="I418" s="3">
        <v>102.53</v>
      </c>
      <c r="J418" s="3">
        <v>95.23</v>
      </c>
      <c r="K418" s="5">
        <f t="shared" si="43"/>
        <v>38</v>
      </c>
      <c r="L418">
        <v>38</v>
      </c>
      <c r="M418" t="s">
        <v>793</v>
      </c>
      <c r="N418">
        <f t="shared" si="42"/>
        <v>2</v>
      </c>
      <c r="O418" t="str">
        <f t="shared" si="44"/>
        <v>Valid</v>
      </c>
      <c r="P418" s="1" t="str">
        <f>IF(N418&gt;=(VLOOKUP(B418,Lembar2!$B$19:$C$24,2,FALSE)+7),"Delayed","Ontime")</f>
        <v>Ontime</v>
      </c>
      <c r="Q418" s="3">
        <f t="shared" si="45"/>
        <v>70643.17</v>
      </c>
      <c r="R418" s="3">
        <f t="shared" si="46"/>
        <v>65613.47</v>
      </c>
      <c r="S418" s="3">
        <f t="shared" si="47"/>
        <v>5029.6999999999971</v>
      </c>
      <c r="T418">
        <f t="shared" si="48"/>
        <v>1</v>
      </c>
    </row>
    <row r="419" spans="1:20" x14ac:dyDescent="0.25">
      <c r="A419" t="s">
        <v>1222</v>
      </c>
      <c r="B419" t="s">
        <v>798</v>
      </c>
      <c r="C419" s="1">
        <v>44995</v>
      </c>
      <c r="D419" s="1">
        <f>IF(E419="",C419+VLOOKUP(B419,Lembar2!$B$19:$C$24,2,FALSE),'Procurement Dataset'!E419)</f>
        <v>45014</v>
      </c>
      <c r="E419" s="1">
        <v>45014</v>
      </c>
      <c r="F419" t="s">
        <v>799</v>
      </c>
      <c r="G419" t="s">
        <v>796</v>
      </c>
      <c r="H419" s="5">
        <v>1106</v>
      </c>
      <c r="I419" s="3">
        <v>44.05</v>
      </c>
      <c r="J419" s="3">
        <v>38.6</v>
      </c>
      <c r="K419" s="5">
        <f t="shared" si="43"/>
        <v>51</v>
      </c>
      <c r="L419">
        <v>51</v>
      </c>
      <c r="M419" t="s">
        <v>793</v>
      </c>
      <c r="N419">
        <f t="shared" si="42"/>
        <v>19</v>
      </c>
      <c r="O419" t="str">
        <f t="shared" si="44"/>
        <v>Valid</v>
      </c>
      <c r="P419" s="1" t="str">
        <f>IF(N419&gt;=(VLOOKUP(B419,Lembar2!$B$19:$C$24,2,FALSE)+7),"Delayed","Ontime")</f>
        <v>Delayed</v>
      </c>
      <c r="Q419" s="3">
        <f t="shared" si="45"/>
        <v>48719.299999999996</v>
      </c>
      <c r="R419" s="3">
        <f t="shared" si="46"/>
        <v>42691.6</v>
      </c>
      <c r="S419" s="3">
        <f t="shared" si="47"/>
        <v>6027.6999999999971</v>
      </c>
      <c r="T419">
        <f t="shared" si="48"/>
        <v>0</v>
      </c>
    </row>
    <row r="420" spans="1:20" x14ac:dyDescent="0.25">
      <c r="A420" t="s">
        <v>1223</v>
      </c>
      <c r="B420" t="s">
        <v>790</v>
      </c>
      <c r="C420" s="1">
        <v>44845</v>
      </c>
      <c r="D420" s="1">
        <f>IF(E420="",C420+VLOOKUP(B420,Lembar2!$B$19:$C$24,2,FALSE),'Procurement Dataset'!E420)</f>
        <v>44856</v>
      </c>
      <c r="E420" s="1">
        <v>44856</v>
      </c>
      <c r="F420" t="s">
        <v>791</v>
      </c>
      <c r="G420" t="s">
        <v>796</v>
      </c>
      <c r="H420" s="5">
        <v>737</v>
      </c>
      <c r="I420" s="3">
        <v>43.08</v>
      </c>
      <c r="J420" s="3">
        <v>42.58</v>
      </c>
      <c r="K420" s="5">
        <f t="shared" si="43"/>
        <v>21</v>
      </c>
      <c r="L420">
        <v>21</v>
      </c>
      <c r="M420" t="s">
        <v>793</v>
      </c>
      <c r="N420">
        <f t="shared" si="42"/>
        <v>11</v>
      </c>
      <c r="O420" t="str">
        <f t="shared" si="44"/>
        <v>Valid</v>
      </c>
      <c r="P420" s="1" t="str">
        <f>IF(N420&gt;=(VLOOKUP(B420,Lembar2!$B$19:$C$24,2,FALSE)+7),"Delayed","Ontime")</f>
        <v>Ontime</v>
      </c>
      <c r="Q420" s="3">
        <f t="shared" si="45"/>
        <v>31749.96</v>
      </c>
      <c r="R420" s="3">
        <f t="shared" si="46"/>
        <v>31381.46</v>
      </c>
      <c r="S420" s="3">
        <f t="shared" si="47"/>
        <v>368.5</v>
      </c>
      <c r="T420">
        <f t="shared" si="48"/>
        <v>1</v>
      </c>
    </row>
    <row r="421" spans="1:20" x14ac:dyDescent="0.25">
      <c r="A421" t="s">
        <v>1224</v>
      </c>
      <c r="B421" t="s">
        <v>790</v>
      </c>
      <c r="C421" s="1">
        <v>44607</v>
      </c>
      <c r="D421" s="1">
        <f>IF(E421="",C421+VLOOKUP(B421,Lembar2!$B$19:$C$24,2,FALSE),'Procurement Dataset'!E421)</f>
        <v>44624</v>
      </c>
      <c r="E421" s="1">
        <v>44624</v>
      </c>
      <c r="F421" t="s">
        <v>804</v>
      </c>
      <c r="G421" t="s">
        <v>796</v>
      </c>
      <c r="H421" s="5">
        <v>509</v>
      </c>
      <c r="I421" s="3">
        <v>76.760000000000005</v>
      </c>
      <c r="J421" s="3">
        <v>74.72</v>
      </c>
      <c r="K421" s="5">
        <f t="shared" si="43"/>
        <v>7</v>
      </c>
      <c r="L421">
        <v>7</v>
      </c>
      <c r="M421" t="s">
        <v>805</v>
      </c>
      <c r="N421">
        <f t="shared" si="42"/>
        <v>17</v>
      </c>
      <c r="O421" t="str">
        <f t="shared" si="44"/>
        <v>Valid</v>
      </c>
      <c r="P421" s="1" t="str">
        <f>IF(N421&gt;=(VLOOKUP(B421,Lembar2!$B$19:$C$24,2,FALSE)+7),"Delayed","Ontime")</f>
        <v>Ontime</v>
      </c>
      <c r="Q421" s="3">
        <f t="shared" si="45"/>
        <v>39070.840000000004</v>
      </c>
      <c r="R421" s="3">
        <f t="shared" si="46"/>
        <v>38032.479999999996</v>
      </c>
      <c r="S421" s="3">
        <f t="shared" si="47"/>
        <v>1038.3600000000079</v>
      </c>
      <c r="T421">
        <f t="shared" si="48"/>
        <v>1</v>
      </c>
    </row>
    <row r="422" spans="1:20" x14ac:dyDescent="0.25">
      <c r="A422" t="s">
        <v>1225</v>
      </c>
      <c r="B422" t="s">
        <v>790</v>
      </c>
      <c r="C422" s="1">
        <v>44565</v>
      </c>
      <c r="D422" s="1">
        <f>IF(E422="",C422+VLOOKUP(B422,Lembar2!$B$19:$C$24,2,FALSE),'Procurement Dataset'!E422)</f>
        <v>44567</v>
      </c>
      <c r="E422" s="1">
        <v>44567</v>
      </c>
      <c r="F422" t="s">
        <v>817</v>
      </c>
      <c r="G422" t="s">
        <v>796</v>
      </c>
      <c r="H422" s="5">
        <v>1004</v>
      </c>
      <c r="I422" s="3">
        <v>50.7</v>
      </c>
      <c r="J422" s="3">
        <v>46.59</v>
      </c>
      <c r="K422" s="5">
        <f t="shared" si="43"/>
        <v>27</v>
      </c>
      <c r="L422">
        <v>27</v>
      </c>
      <c r="M422" t="s">
        <v>793</v>
      </c>
      <c r="N422">
        <f t="shared" si="42"/>
        <v>2</v>
      </c>
      <c r="O422" t="str">
        <f t="shared" si="44"/>
        <v>Valid</v>
      </c>
      <c r="P422" s="1" t="str">
        <f>IF(N422&gt;=(VLOOKUP(B422,Lembar2!$B$19:$C$24,2,FALSE)+7),"Delayed","Ontime")</f>
        <v>Ontime</v>
      </c>
      <c r="Q422" s="3">
        <f t="shared" si="45"/>
        <v>50902.8</v>
      </c>
      <c r="R422" s="3">
        <f t="shared" si="46"/>
        <v>46776.36</v>
      </c>
      <c r="S422" s="3">
        <f t="shared" si="47"/>
        <v>4126.4400000000023</v>
      </c>
      <c r="T422">
        <f t="shared" si="48"/>
        <v>1</v>
      </c>
    </row>
    <row r="423" spans="1:20" x14ac:dyDescent="0.25">
      <c r="A423" t="s">
        <v>1226</v>
      </c>
      <c r="B423" t="s">
        <v>798</v>
      </c>
      <c r="C423" s="1">
        <v>44903</v>
      </c>
      <c r="D423" s="1">
        <f>IF(E423="",C423+VLOOKUP(B423,Lembar2!$B$19:$C$24,2,FALSE),'Procurement Dataset'!E423)</f>
        <v>44914</v>
      </c>
      <c r="E423" s="1">
        <v>44914</v>
      </c>
      <c r="F423" t="s">
        <v>799</v>
      </c>
      <c r="G423" t="s">
        <v>813</v>
      </c>
      <c r="H423" s="5">
        <v>1956</v>
      </c>
      <c r="I423" s="3">
        <v>31.88</v>
      </c>
      <c r="J423" s="3">
        <v>28.48</v>
      </c>
      <c r="K423" s="5">
        <f t="shared" si="43"/>
        <v>86</v>
      </c>
      <c r="L423">
        <v>86</v>
      </c>
      <c r="M423" t="s">
        <v>793</v>
      </c>
      <c r="N423">
        <f t="shared" si="42"/>
        <v>11</v>
      </c>
      <c r="O423" t="str">
        <f t="shared" si="44"/>
        <v>Valid</v>
      </c>
      <c r="P423" s="1" t="str">
        <f>IF(N423&gt;=(VLOOKUP(B423,Lembar2!$B$19:$C$24,2,FALSE)+7),"Delayed","Ontime")</f>
        <v>Ontime</v>
      </c>
      <c r="Q423" s="3">
        <f t="shared" si="45"/>
        <v>62357.279999999999</v>
      </c>
      <c r="R423" s="3">
        <f t="shared" si="46"/>
        <v>55706.879999999997</v>
      </c>
      <c r="S423" s="3">
        <f t="shared" si="47"/>
        <v>6650.4000000000015</v>
      </c>
      <c r="T423">
        <f t="shared" si="48"/>
        <v>1</v>
      </c>
    </row>
    <row r="424" spans="1:20" x14ac:dyDescent="0.25">
      <c r="A424" t="s">
        <v>1227</v>
      </c>
      <c r="B424" t="s">
        <v>795</v>
      </c>
      <c r="C424" s="1">
        <v>44695</v>
      </c>
      <c r="D424" s="1">
        <f>IF(E424="",C424+VLOOKUP(B424,Lembar2!$B$19:$C$24,2,FALSE),'Procurement Dataset'!E424)</f>
        <v>44706</v>
      </c>
      <c r="F424" t="s">
        <v>817</v>
      </c>
      <c r="G424" t="s">
        <v>796</v>
      </c>
      <c r="H424" s="5">
        <v>519</v>
      </c>
      <c r="I424" s="3">
        <v>51.73</v>
      </c>
      <c r="J424" s="3">
        <v>47.52</v>
      </c>
      <c r="K424" s="5">
        <f t="shared" si="43"/>
        <v>81</v>
      </c>
      <c r="L424">
        <v>81</v>
      </c>
      <c r="M424" t="s">
        <v>805</v>
      </c>
      <c r="N424" t="str">
        <f t="shared" si="42"/>
        <v/>
      </c>
      <c r="O424" t="str">
        <f t="shared" si="44"/>
        <v>Valid</v>
      </c>
      <c r="P424" s="1" t="str">
        <f>IF(N424&gt;=(VLOOKUP(B424,Lembar2!$B$19:$C$24,2,FALSE)+7),"Delayed","Ontime")</f>
        <v>Delayed</v>
      </c>
      <c r="Q424" s="3">
        <f t="shared" si="45"/>
        <v>26847.87</v>
      </c>
      <c r="R424" s="3">
        <f t="shared" si="46"/>
        <v>24662.880000000001</v>
      </c>
      <c r="S424" s="3">
        <f t="shared" si="47"/>
        <v>2184.989999999998</v>
      </c>
      <c r="T424">
        <f t="shared" si="48"/>
        <v>0</v>
      </c>
    </row>
    <row r="425" spans="1:20" x14ac:dyDescent="0.25">
      <c r="A425" t="s">
        <v>1228</v>
      </c>
      <c r="B425" t="s">
        <v>798</v>
      </c>
      <c r="C425" s="1">
        <v>45214</v>
      </c>
      <c r="D425" s="1">
        <f>IF(E425="",C425+VLOOKUP(B425,Lembar2!$B$19:$C$24,2,FALSE),'Procurement Dataset'!E425)</f>
        <v>45220</v>
      </c>
      <c r="E425" s="1">
        <v>45220</v>
      </c>
      <c r="F425" t="s">
        <v>799</v>
      </c>
      <c r="G425" t="s">
        <v>811</v>
      </c>
      <c r="H425" s="5">
        <v>1448</v>
      </c>
      <c r="I425" s="3">
        <v>25.06</v>
      </c>
      <c r="J425" s="3">
        <v>21.62</v>
      </c>
      <c r="K425" s="5">
        <f t="shared" si="43"/>
        <v>84</v>
      </c>
      <c r="L425">
        <v>84</v>
      </c>
      <c r="M425" t="s">
        <v>793</v>
      </c>
      <c r="N425">
        <f t="shared" si="42"/>
        <v>6</v>
      </c>
      <c r="O425" t="str">
        <f t="shared" si="44"/>
        <v>Valid</v>
      </c>
      <c r="P425" s="1" t="str">
        <f>IF(N425&gt;=(VLOOKUP(B425,Lembar2!$B$19:$C$24,2,FALSE)+7),"Delayed","Ontime")</f>
        <v>Ontime</v>
      </c>
      <c r="Q425" s="3">
        <f t="shared" si="45"/>
        <v>36286.879999999997</v>
      </c>
      <c r="R425" s="3">
        <f t="shared" si="46"/>
        <v>31305.760000000002</v>
      </c>
      <c r="S425" s="3">
        <f t="shared" si="47"/>
        <v>4981.1199999999953</v>
      </c>
      <c r="T425">
        <f t="shared" si="48"/>
        <v>1</v>
      </c>
    </row>
    <row r="426" spans="1:20" x14ac:dyDescent="0.25">
      <c r="A426" t="s">
        <v>1229</v>
      </c>
      <c r="B426" t="s">
        <v>798</v>
      </c>
      <c r="C426" s="1">
        <v>44830</v>
      </c>
      <c r="D426" s="1">
        <f>IF(E426="",C426+VLOOKUP(B426,Lembar2!$B$19:$C$24,2,FALSE),'Procurement Dataset'!E426)</f>
        <v>44845</v>
      </c>
      <c r="E426" s="1">
        <v>44845</v>
      </c>
      <c r="F426" t="s">
        <v>802</v>
      </c>
      <c r="G426" t="s">
        <v>796</v>
      </c>
      <c r="H426" s="5">
        <v>1095</v>
      </c>
      <c r="I426" s="3">
        <v>26.91</v>
      </c>
      <c r="J426" s="3">
        <v>23.75</v>
      </c>
      <c r="K426" s="5">
        <f t="shared" si="43"/>
        <v>53</v>
      </c>
      <c r="L426">
        <v>53</v>
      </c>
      <c r="M426" t="s">
        <v>793</v>
      </c>
      <c r="N426">
        <f t="shared" si="42"/>
        <v>15</v>
      </c>
      <c r="O426" t="str">
        <f t="shared" si="44"/>
        <v>Valid</v>
      </c>
      <c r="P426" s="1" t="str">
        <f>IF(N426&gt;=(VLOOKUP(B426,Lembar2!$B$19:$C$24,2,FALSE)+7),"Delayed","Ontime")</f>
        <v>Ontime</v>
      </c>
      <c r="Q426" s="3">
        <f t="shared" si="45"/>
        <v>29466.45</v>
      </c>
      <c r="R426" s="3">
        <f t="shared" si="46"/>
        <v>26006.25</v>
      </c>
      <c r="S426" s="3">
        <f t="shared" si="47"/>
        <v>3460.2000000000007</v>
      </c>
      <c r="T426">
        <f t="shared" si="48"/>
        <v>1</v>
      </c>
    </row>
    <row r="427" spans="1:20" x14ac:dyDescent="0.25">
      <c r="A427" t="s">
        <v>1230</v>
      </c>
      <c r="B427" t="s">
        <v>790</v>
      </c>
      <c r="C427" s="1">
        <v>44727</v>
      </c>
      <c r="D427" s="1">
        <f>IF(E427="",C427+VLOOKUP(B427,Lembar2!$B$19:$C$24,2,FALSE),'Procurement Dataset'!E427)</f>
        <v>44738</v>
      </c>
      <c r="F427" t="s">
        <v>799</v>
      </c>
      <c r="G427" t="s">
        <v>796</v>
      </c>
      <c r="H427" s="5">
        <v>799</v>
      </c>
      <c r="I427" s="3">
        <v>56.22</v>
      </c>
      <c r="J427" s="3">
        <v>49.51</v>
      </c>
      <c r="K427" s="5">
        <f t="shared" si="43"/>
        <v>18</v>
      </c>
      <c r="L427">
        <v>18</v>
      </c>
      <c r="M427" t="s">
        <v>793</v>
      </c>
      <c r="N427" t="str">
        <f t="shared" si="42"/>
        <v/>
      </c>
      <c r="O427" t="str">
        <f t="shared" si="44"/>
        <v>Valid</v>
      </c>
      <c r="P427" s="1" t="str">
        <f>IF(N427&gt;=(VLOOKUP(B427,Lembar2!$B$19:$C$24,2,FALSE)+7),"Delayed","Ontime")</f>
        <v>Delayed</v>
      </c>
      <c r="Q427" s="3">
        <f t="shared" si="45"/>
        <v>44919.78</v>
      </c>
      <c r="R427" s="3">
        <f t="shared" si="46"/>
        <v>39558.49</v>
      </c>
      <c r="S427" s="3">
        <f t="shared" si="47"/>
        <v>5361.2900000000009</v>
      </c>
      <c r="T427">
        <f t="shared" si="48"/>
        <v>0</v>
      </c>
    </row>
    <row r="428" spans="1:20" x14ac:dyDescent="0.25">
      <c r="A428" t="s">
        <v>1231</v>
      </c>
      <c r="B428" t="s">
        <v>801</v>
      </c>
      <c r="C428" s="1">
        <v>45014</v>
      </c>
      <c r="D428" s="1">
        <f>IF(E428="",C428+VLOOKUP(B428,Lembar2!$B$19:$C$24,2,FALSE),'Procurement Dataset'!E428)</f>
        <v>45034</v>
      </c>
      <c r="E428" s="1">
        <v>45034</v>
      </c>
      <c r="F428" t="s">
        <v>799</v>
      </c>
      <c r="G428" t="s">
        <v>811</v>
      </c>
      <c r="H428" s="5">
        <v>1743</v>
      </c>
      <c r="I428" s="3">
        <v>51.04</v>
      </c>
      <c r="J428" s="3">
        <v>47.15</v>
      </c>
      <c r="K428" s="5">
        <f t="shared" si="43"/>
        <v>160</v>
      </c>
      <c r="L428">
        <v>160</v>
      </c>
      <c r="M428" t="s">
        <v>793</v>
      </c>
      <c r="N428">
        <f t="shared" si="42"/>
        <v>20</v>
      </c>
      <c r="O428" t="str">
        <f t="shared" si="44"/>
        <v>Valid</v>
      </c>
      <c r="P428" s="1" t="str">
        <f>IF(N428&gt;=(VLOOKUP(B428,Lembar2!$B$19:$C$24,2,FALSE)+7),"Delayed","Ontime")</f>
        <v>Delayed</v>
      </c>
      <c r="Q428" s="3">
        <f t="shared" si="45"/>
        <v>88962.72</v>
      </c>
      <c r="R428" s="3">
        <f t="shared" si="46"/>
        <v>82182.45</v>
      </c>
      <c r="S428" s="3">
        <f t="shared" si="47"/>
        <v>6780.2700000000041</v>
      </c>
      <c r="T428">
        <f t="shared" si="48"/>
        <v>0</v>
      </c>
    </row>
    <row r="429" spans="1:20" x14ac:dyDescent="0.25">
      <c r="A429" t="s">
        <v>1232</v>
      </c>
      <c r="B429" t="s">
        <v>790</v>
      </c>
      <c r="C429" s="1">
        <v>45126</v>
      </c>
      <c r="D429" s="1">
        <f>IF(E429="",C429+VLOOKUP(B429,Lembar2!$B$19:$C$24,2,FALSE),'Procurement Dataset'!E429)</f>
        <v>45138</v>
      </c>
      <c r="E429" s="1">
        <v>45138</v>
      </c>
      <c r="F429" t="s">
        <v>804</v>
      </c>
      <c r="G429" t="s">
        <v>796</v>
      </c>
      <c r="H429" s="5">
        <v>87</v>
      </c>
      <c r="I429" s="3">
        <v>100.65</v>
      </c>
      <c r="J429" s="3">
        <v>85.56</v>
      </c>
      <c r="K429" s="5">
        <f t="shared" si="43"/>
        <v>1</v>
      </c>
      <c r="L429">
        <v>1</v>
      </c>
      <c r="M429" t="s">
        <v>793</v>
      </c>
      <c r="N429">
        <f t="shared" si="42"/>
        <v>12</v>
      </c>
      <c r="O429" t="str">
        <f t="shared" si="44"/>
        <v>Valid</v>
      </c>
      <c r="P429" s="1" t="str">
        <f>IF(N429&gt;=(VLOOKUP(B429,Lembar2!$B$19:$C$24,2,FALSE)+7),"Delayed","Ontime")</f>
        <v>Ontime</v>
      </c>
      <c r="Q429" s="3">
        <f t="shared" si="45"/>
        <v>8756.5500000000011</v>
      </c>
      <c r="R429" s="3">
        <f t="shared" si="46"/>
        <v>7443.72</v>
      </c>
      <c r="S429" s="3">
        <f t="shared" si="47"/>
        <v>1312.8300000000008</v>
      </c>
      <c r="T429">
        <f t="shared" si="48"/>
        <v>1</v>
      </c>
    </row>
    <row r="430" spans="1:20" x14ac:dyDescent="0.25">
      <c r="A430" t="s">
        <v>1233</v>
      </c>
      <c r="B430" t="s">
        <v>801</v>
      </c>
      <c r="C430" s="1">
        <v>45284</v>
      </c>
      <c r="D430" s="1">
        <f>IF(E430="",C430+VLOOKUP(B430,Lembar2!$B$19:$C$24,2,FALSE),'Procurement Dataset'!E430)</f>
        <v>45296</v>
      </c>
      <c r="F430" t="s">
        <v>804</v>
      </c>
      <c r="G430" t="s">
        <v>796</v>
      </c>
      <c r="H430" s="5">
        <v>279</v>
      </c>
      <c r="I430" s="3">
        <v>47.52</v>
      </c>
      <c r="J430" s="3">
        <v>46.5</v>
      </c>
      <c r="K430" s="5">
        <f t="shared" si="43"/>
        <v>28</v>
      </c>
      <c r="L430">
        <v>28</v>
      </c>
      <c r="M430" t="s">
        <v>805</v>
      </c>
      <c r="N430" t="str">
        <f t="shared" si="42"/>
        <v/>
      </c>
      <c r="O430" t="str">
        <f t="shared" si="44"/>
        <v>Valid</v>
      </c>
      <c r="P430" s="1" t="str">
        <f>IF(N430&gt;=(VLOOKUP(B430,Lembar2!$B$19:$C$24,2,FALSE)+7),"Delayed","Ontime")</f>
        <v>Delayed</v>
      </c>
      <c r="Q430" s="3">
        <f t="shared" si="45"/>
        <v>13258.080000000002</v>
      </c>
      <c r="R430" s="3">
        <f t="shared" si="46"/>
        <v>12973.5</v>
      </c>
      <c r="S430" s="3">
        <f t="shared" si="47"/>
        <v>284.58000000000175</v>
      </c>
      <c r="T430">
        <f t="shared" si="48"/>
        <v>0</v>
      </c>
    </row>
    <row r="431" spans="1:20" x14ac:dyDescent="0.25">
      <c r="A431" t="s">
        <v>1234</v>
      </c>
      <c r="B431" t="s">
        <v>795</v>
      </c>
      <c r="C431" s="1">
        <v>44999</v>
      </c>
      <c r="D431" s="1">
        <f>IF(E431="",C431+VLOOKUP(B431,Lembar2!$B$19:$C$24,2,FALSE),'Procurement Dataset'!E431)</f>
        <v>45010</v>
      </c>
      <c r="E431" s="1">
        <v>45010</v>
      </c>
      <c r="F431" t="s">
        <v>804</v>
      </c>
      <c r="G431" t="s">
        <v>796</v>
      </c>
      <c r="H431" s="5">
        <v>1438</v>
      </c>
      <c r="I431" s="3">
        <v>66.61</v>
      </c>
      <c r="J431" s="3">
        <v>58.5</v>
      </c>
      <c r="K431" s="5">
        <f t="shared" si="43"/>
        <v>237</v>
      </c>
      <c r="L431">
        <v>237</v>
      </c>
      <c r="M431" t="s">
        <v>793</v>
      </c>
      <c r="N431">
        <f t="shared" si="42"/>
        <v>11</v>
      </c>
      <c r="O431" t="str">
        <f t="shared" si="44"/>
        <v>Valid</v>
      </c>
      <c r="P431" s="1" t="str">
        <f>IF(N431&gt;=(VLOOKUP(B431,Lembar2!$B$19:$C$24,2,FALSE)+7),"Delayed","Ontime")</f>
        <v>Ontime</v>
      </c>
      <c r="Q431" s="3">
        <f t="shared" si="45"/>
        <v>95785.18</v>
      </c>
      <c r="R431" s="3">
        <f t="shared" si="46"/>
        <v>84123</v>
      </c>
      <c r="S431" s="3">
        <f t="shared" si="47"/>
        <v>11662.179999999993</v>
      </c>
      <c r="T431">
        <f t="shared" si="48"/>
        <v>1</v>
      </c>
    </row>
    <row r="432" spans="1:20" x14ac:dyDescent="0.25">
      <c r="A432" t="s">
        <v>1235</v>
      </c>
      <c r="B432" t="s">
        <v>795</v>
      </c>
      <c r="C432" s="1">
        <v>45136</v>
      </c>
      <c r="D432" s="1">
        <f>IF(E432="",C432+VLOOKUP(B432,Lembar2!$B$19:$C$24,2,FALSE),'Procurement Dataset'!E432)</f>
        <v>45138</v>
      </c>
      <c r="E432" s="1">
        <v>45138</v>
      </c>
      <c r="F432" t="s">
        <v>791</v>
      </c>
      <c r="G432" t="s">
        <v>811</v>
      </c>
      <c r="H432" s="5">
        <v>612</v>
      </c>
      <c r="I432" s="3">
        <v>72.930000000000007</v>
      </c>
      <c r="J432" s="3">
        <v>63.32</v>
      </c>
      <c r="K432" s="5">
        <f t="shared" si="43"/>
        <v>99</v>
      </c>
      <c r="L432">
        <v>99</v>
      </c>
      <c r="M432" t="s">
        <v>793</v>
      </c>
      <c r="N432">
        <f t="shared" si="42"/>
        <v>2</v>
      </c>
      <c r="O432" t="str">
        <f t="shared" si="44"/>
        <v>Valid</v>
      </c>
      <c r="P432" s="1" t="str">
        <f>IF(N432&gt;=(VLOOKUP(B432,Lembar2!$B$19:$C$24,2,FALSE)+7),"Delayed","Ontime")</f>
        <v>Ontime</v>
      </c>
      <c r="Q432" s="3">
        <f t="shared" si="45"/>
        <v>44633.16</v>
      </c>
      <c r="R432" s="3">
        <f t="shared" si="46"/>
        <v>38751.840000000004</v>
      </c>
      <c r="S432" s="3">
        <f t="shared" si="47"/>
        <v>5881.32</v>
      </c>
      <c r="T432">
        <f t="shared" si="48"/>
        <v>1</v>
      </c>
    </row>
    <row r="433" spans="1:20" x14ac:dyDescent="0.25">
      <c r="A433" t="s">
        <v>1236</v>
      </c>
      <c r="B433" t="s">
        <v>807</v>
      </c>
      <c r="C433" s="1">
        <v>44571</v>
      </c>
      <c r="D433" s="1">
        <f>IF(E433="",C433+VLOOKUP(B433,Lembar2!$B$19:$C$24,2,FALSE),'Procurement Dataset'!E433)</f>
        <v>44582</v>
      </c>
      <c r="E433" s="1">
        <v>44582</v>
      </c>
      <c r="F433" t="s">
        <v>802</v>
      </c>
      <c r="G433" t="s">
        <v>813</v>
      </c>
      <c r="H433" s="5">
        <v>487</v>
      </c>
      <c r="I433" s="3">
        <v>11.18</v>
      </c>
      <c r="J433" s="3">
        <v>10.63</v>
      </c>
      <c r="K433" s="5">
        <f t="shared" si="43"/>
        <v>15</v>
      </c>
      <c r="L433">
        <v>15</v>
      </c>
      <c r="M433" t="s">
        <v>793</v>
      </c>
      <c r="N433">
        <f t="shared" si="42"/>
        <v>11</v>
      </c>
      <c r="O433" t="str">
        <f t="shared" si="44"/>
        <v>Valid</v>
      </c>
      <c r="P433" s="1" t="str">
        <f>IF(N433&gt;=(VLOOKUP(B433,Lembar2!$B$19:$C$24,2,FALSE)+7),"Delayed","Ontime")</f>
        <v>Ontime</v>
      </c>
      <c r="Q433" s="3">
        <f t="shared" si="45"/>
        <v>5444.66</v>
      </c>
      <c r="R433" s="3">
        <f t="shared" si="46"/>
        <v>5176.8100000000004</v>
      </c>
      <c r="S433" s="3">
        <f t="shared" si="47"/>
        <v>267.84999999999945</v>
      </c>
      <c r="T433">
        <f t="shared" si="48"/>
        <v>1</v>
      </c>
    </row>
    <row r="434" spans="1:20" x14ac:dyDescent="0.25">
      <c r="A434" t="s">
        <v>1237</v>
      </c>
      <c r="B434" t="s">
        <v>807</v>
      </c>
      <c r="C434" s="1">
        <v>44676</v>
      </c>
      <c r="D434" s="1">
        <f>IF(E434="",C434+VLOOKUP(B434,Lembar2!$B$19:$C$24,2,FALSE),'Procurement Dataset'!E434)</f>
        <v>44680</v>
      </c>
      <c r="E434" s="1">
        <v>44680</v>
      </c>
      <c r="F434" t="s">
        <v>802</v>
      </c>
      <c r="G434" t="s">
        <v>811</v>
      </c>
      <c r="H434" s="5">
        <v>1849</v>
      </c>
      <c r="I434" s="3">
        <v>70.760000000000005</v>
      </c>
      <c r="J434" s="3">
        <v>69.25</v>
      </c>
      <c r="K434" s="5">
        <f t="shared" si="43"/>
        <v>51</v>
      </c>
      <c r="L434">
        <v>51</v>
      </c>
      <c r="M434" t="s">
        <v>793</v>
      </c>
      <c r="N434">
        <f t="shared" si="42"/>
        <v>4</v>
      </c>
      <c r="O434" t="str">
        <f t="shared" si="44"/>
        <v>Valid</v>
      </c>
      <c r="P434" s="1" t="str">
        <f>IF(N434&gt;=(VLOOKUP(B434,Lembar2!$B$19:$C$24,2,FALSE)+7),"Delayed","Ontime")</f>
        <v>Ontime</v>
      </c>
      <c r="Q434" s="3">
        <f t="shared" si="45"/>
        <v>130835.24</v>
      </c>
      <c r="R434" s="3">
        <f t="shared" si="46"/>
        <v>128043.25</v>
      </c>
      <c r="S434" s="3">
        <f t="shared" si="47"/>
        <v>2791.9900000000052</v>
      </c>
      <c r="T434">
        <f t="shared" si="48"/>
        <v>1</v>
      </c>
    </row>
    <row r="435" spans="1:20" x14ac:dyDescent="0.25">
      <c r="A435" t="s">
        <v>1238</v>
      </c>
      <c r="B435" t="s">
        <v>807</v>
      </c>
      <c r="C435" s="1">
        <v>44639</v>
      </c>
      <c r="D435" s="1">
        <f>IF(E435="",C435+VLOOKUP(B435,Lembar2!$B$19:$C$24,2,FALSE),'Procurement Dataset'!E435)</f>
        <v>44652</v>
      </c>
      <c r="E435" s="1">
        <v>44652</v>
      </c>
      <c r="F435" t="s">
        <v>799</v>
      </c>
      <c r="G435" t="s">
        <v>811</v>
      </c>
      <c r="H435" s="5">
        <v>1356</v>
      </c>
      <c r="I435" s="3">
        <v>26.28</v>
      </c>
      <c r="J435" s="3">
        <v>25.44</v>
      </c>
      <c r="K435" s="5">
        <f t="shared" si="43"/>
        <v>47</v>
      </c>
      <c r="L435">
        <v>47</v>
      </c>
      <c r="M435" t="s">
        <v>793</v>
      </c>
      <c r="N435">
        <f t="shared" si="42"/>
        <v>13</v>
      </c>
      <c r="O435" t="str">
        <f t="shared" si="44"/>
        <v>Valid</v>
      </c>
      <c r="P435" s="1" t="str">
        <f>IF(N435&gt;=(VLOOKUP(B435,Lembar2!$B$19:$C$24,2,FALSE)+7),"Delayed","Ontime")</f>
        <v>Ontime</v>
      </c>
      <c r="Q435" s="3">
        <f t="shared" si="45"/>
        <v>35635.68</v>
      </c>
      <c r="R435" s="3">
        <f t="shared" si="46"/>
        <v>34496.639999999999</v>
      </c>
      <c r="S435" s="3">
        <f t="shared" si="47"/>
        <v>1139.0400000000009</v>
      </c>
      <c r="T435">
        <f t="shared" si="48"/>
        <v>1</v>
      </c>
    </row>
    <row r="436" spans="1:20" x14ac:dyDescent="0.25">
      <c r="A436" t="s">
        <v>1239</v>
      </c>
      <c r="B436" t="s">
        <v>795</v>
      </c>
      <c r="C436" s="1">
        <v>45269</v>
      </c>
      <c r="D436" s="1">
        <f>IF(E436="",C436+VLOOKUP(B436,Lembar2!$B$19:$C$24,2,FALSE),'Procurement Dataset'!E436)</f>
        <v>45289</v>
      </c>
      <c r="E436" s="1">
        <v>45289</v>
      </c>
      <c r="F436" t="s">
        <v>804</v>
      </c>
      <c r="G436" t="s">
        <v>796</v>
      </c>
      <c r="H436" s="5">
        <v>76</v>
      </c>
      <c r="I436" s="3">
        <v>107.59</v>
      </c>
      <c r="J436" s="3">
        <v>96.33</v>
      </c>
      <c r="K436" s="5">
        <f t="shared" si="43"/>
        <v>10</v>
      </c>
      <c r="L436">
        <v>10</v>
      </c>
      <c r="M436" t="s">
        <v>793</v>
      </c>
      <c r="N436">
        <f t="shared" si="42"/>
        <v>20</v>
      </c>
      <c r="O436" t="str">
        <f t="shared" si="44"/>
        <v>Valid</v>
      </c>
      <c r="P436" s="1" t="str">
        <f>IF(N436&gt;=(VLOOKUP(B436,Lembar2!$B$19:$C$24,2,FALSE)+7),"Delayed","Ontime")</f>
        <v>Delayed</v>
      </c>
      <c r="Q436" s="3">
        <f t="shared" si="45"/>
        <v>8176.84</v>
      </c>
      <c r="R436" s="3">
        <f t="shared" si="46"/>
        <v>7321.08</v>
      </c>
      <c r="S436" s="3">
        <f t="shared" si="47"/>
        <v>855.76000000000022</v>
      </c>
      <c r="T436">
        <f t="shared" si="48"/>
        <v>0</v>
      </c>
    </row>
    <row r="437" spans="1:20" x14ac:dyDescent="0.25">
      <c r="A437" t="s">
        <v>1240</v>
      </c>
      <c r="B437" t="s">
        <v>790</v>
      </c>
      <c r="C437" s="1">
        <v>44714</v>
      </c>
      <c r="D437" s="1">
        <f>IF(E437="",C437+VLOOKUP(B437,Lembar2!$B$19:$C$24,2,FALSE),'Procurement Dataset'!E437)</f>
        <v>44725</v>
      </c>
      <c r="E437" s="1">
        <v>44725</v>
      </c>
      <c r="F437" t="s">
        <v>802</v>
      </c>
      <c r="G437" t="s">
        <v>811</v>
      </c>
      <c r="H437" s="5">
        <v>275</v>
      </c>
      <c r="I437" s="3">
        <v>23.96</v>
      </c>
      <c r="J437" s="3">
        <v>20.440000000000001</v>
      </c>
      <c r="K437" s="5">
        <f t="shared" si="43"/>
        <v>0</v>
      </c>
      <c r="M437" t="s">
        <v>793</v>
      </c>
      <c r="N437">
        <f t="shared" si="42"/>
        <v>11</v>
      </c>
      <c r="O437" t="str">
        <f t="shared" si="44"/>
        <v>Valid</v>
      </c>
      <c r="P437" s="1" t="str">
        <f>IF(N437&gt;=(VLOOKUP(B437,Lembar2!$B$19:$C$24,2,FALSE)+7),"Delayed","Ontime")</f>
        <v>Ontime</v>
      </c>
      <c r="Q437" s="3">
        <f t="shared" si="45"/>
        <v>6589</v>
      </c>
      <c r="R437" s="3">
        <f t="shared" si="46"/>
        <v>5621</v>
      </c>
      <c r="S437" s="3">
        <f t="shared" si="47"/>
        <v>968</v>
      </c>
      <c r="T437">
        <f t="shared" si="48"/>
        <v>1</v>
      </c>
    </row>
    <row r="438" spans="1:20" x14ac:dyDescent="0.25">
      <c r="A438" t="s">
        <v>1241</v>
      </c>
      <c r="B438" t="s">
        <v>790</v>
      </c>
      <c r="C438" s="1">
        <v>45120</v>
      </c>
      <c r="D438" s="1">
        <f>IF(E438="",C438+VLOOKUP(B438,Lembar2!$B$19:$C$24,2,FALSE),'Procurement Dataset'!E438)</f>
        <v>45125</v>
      </c>
      <c r="E438" s="1">
        <v>45125</v>
      </c>
      <c r="F438" t="s">
        <v>802</v>
      </c>
      <c r="G438" t="s">
        <v>796</v>
      </c>
      <c r="H438" s="5">
        <v>1350</v>
      </c>
      <c r="I438" s="3">
        <v>51.57</v>
      </c>
      <c r="J438" s="3">
        <v>48.07</v>
      </c>
      <c r="K438" s="5">
        <f t="shared" si="43"/>
        <v>0</v>
      </c>
      <c r="M438" t="s">
        <v>793</v>
      </c>
      <c r="N438">
        <f t="shared" si="42"/>
        <v>5</v>
      </c>
      <c r="O438" t="str">
        <f t="shared" si="44"/>
        <v>Valid</v>
      </c>
      <c r="P438" s="1" t="str">
        <f>IF(N438&gt;=(VLOOKUP(B438,Lembar2!$B$19:$C$24,2,FALSE)+7),"Delayed","Ontime")</f>
        <v>Ontime</v>
      </c>
      <c r="Q438" s="3">
        <f t="shared" si="45"/>
        <v>69619.5</v>
      </c>
      <c r="R438" s="3">
        <f t="shared" si="46"/>
        <v>64894.5</v>
      </c>
      <c r="S438" s="3">
        <f t="shared" si="47"/>
        <v>4725</v>
      </c>
      <c r="T438">
        <f t="shared" si="48"/>
        <v>1</v>
      </c>
    </row>
    <row r="439" spans="1:20" x14ac:dyDescent="0.25">
      <c r="A439" t="s">
        <v>1242</v>
      </c>
      <c r="B439" t="s">
        <v>790</v>
      </c>
      <c r="C439" s="1">
        <v>44598</v>
      </c>
      <c r="D439" s="1">
        <f>IF(E439="",C439+VLOOKUP(B439,Lembar2!$B$19:$C$24,2,FALSE),'Procurement Dataset'!E439)</f>
        <v>44609</v>
      </c>
      <c r="F439" t="s">
        <v>799</v>
      </c>
      <c r="G439" t="s">
        <v>796</v>
      </c>
      <c r="H439" s="5">
        <v>847</v>
      </c>
      <c r="I439" s="3">
        <v>17.77</v>
      </c>
      <c r="J439" s="3">
        <v>17.39</v>
      </c>
      <c r="K439" s="5">
        <f t="shared" si="43"/>
        <v>0</v>
      </c>
      <c r="M439" t="s">
        <v>793</v>
      </c>
      <c r="N439" t="str">
        <f t="shared" si="42"/>
        <v/>
      </c>
      <c r="O439" t="str">
        <f t="shared" si="44"/>
        <v>Valid</v>
      </c>
      <c r="P439" s="1" t="str">
        <f>IF(N439&gt;=(VLOOKUP(B439,Lembar2!$B$19:$C$24,2,FALSE)+7),"Delayed","Ontime")</f>
        <v>Delayed</v>
      </c>
      <c r="Q439" s="3">
        <f t="shared" si="45"/>
        <v>15051.19</v>
      </c>
      <c r="R439" s="3">
        <f t="shared" si="46"/>
        <v>14729.33</v>
      </c>
      <c r="S439" s="3">
        <f t="shared" si="47"/>
        <v>321.86000000000058</v>
      </c>
      <c r="T439">
        <f t="shared" si="48"/>
        <v>0</v>
      </c>
    </row>
    <row r="440" spans="1:20" x14ac:dyDescent="0.25">
      <c r="A440" t="s">
        <v>1243</v>
      </c>
      <c r="B440" t="s">
        <v>798</v>
      </c>
      <c r="C440" s="1">
        <v>44940</v>
      </c>
      <c r="D440" s="1">
        <f>IF(E440="",C440+VLOOKUP(B440,Lembar2!$B$19:$C$24,2,FALSE),'Procurement Dataset'!E440)</f>
        <v>44953</v>
      </c>
      <c r="E440" s="1">
        <v>44953</v>
      </c>
      <c r="F440" t="s">
        <v>799</v>
      </c>
      <c r="G440" t="s">
        <v>796</v>
      </c>
      <c r="H440" s="5">
        <v>1682</v>
      </c>
      <c r="I440" s="3">
        <v>105.7</v>
      </c>
      <c r="J440" s="3">
        <v>101.3</v>
      </c>
      <c r="K440" s="5">
        <f t="shared" si="43"/>
        <v>94</v>
      </c>
      <c r="L440">
        <v>94</v>
      </c>
      <c r="M440" t="s">
        <v>793</v>
      </c>
      <c r="N440">
        <f t="shared" si="42"/>
        <v>13</v>
      </c>
      <c r="O440" t="str">
        <f t="shared" si="44"/>
        <v>Valid</v>
      </c>
      <c r="P440" s="1" t="str">
        <f>IF(N440&gt;=(VLOOKUP(B440,Lembar2!$B$19:$C$24,2,FALSE)+7),"Delayed","Ontime")</f>
        <v>Ontime</v>
      </c>
      <c r="Q440" s="3">
        <f t="shared" si="45"/>
        <v>177787.4</v>
      </c>
      <c r="R440" s="3">
        <f t="shared" si="46"/>
        <v>170386.6</v>
      </c>
      <c r="S440" s="3">
        <f t="shared" si="47"/>
        <v>7400.7999999999884</v>
      </c>
      <c r="T440">
        <f t="shared" si="48"/>
        <v>1</v>
      </c>
    </row>
    <row r="441" spans="1:20" x14ac:dyDescent="0.25">
      <c r="A441" t="s">
        <v>1244</v>
      </c>
      <c r="B441" t="s">
        <v>807</v>
      </c>
      <c r="C441" s="1">
        <v>45158</v>
      </c>
      <c r="D441" s="1">
        <f>IF(E441="",C441+VLOOKUP(B441,Lembar2!$B$19:$C$24,2,FALSE),'Procurement Dataset'!E441)</f>
        <v>45161</v>
      </c>
      <c r="E441" s="1">
        <v>45161</v>
      </c>
      <c r="F441" t="s">
        <v>817</v>
      </c>
      <c r="G441" t="s">
        <v>796</v>
      </c>
      <c r="H441" s="5">
        <v>333</v>
      </c>
      <c r="I441" s="3">
        <v>60.44</v>
      </c>
      <c r="J441" s="3">
        <v>58.54</v>
      </c>
      <c r="K441" s="5">
        <f t="shared" si="43"/>
        <v>8</v>
      </c>
      <c r="L441">
        <v>8</v>
      </c>
      <c r="M441" t="s">
        <v>793</v>
      </c>
      <c r="N441">
        <f t="shared" si="42"/>
        <v>3</v>
      </c>
      <c r="O441" t="str">
        <f t="shared" si="44"/>
        <v>Valid</v>
      </c>
      <c r="P441" s="1" t="str">
        <f>IF(N441&gt;=(VLOOKUP(B441,Lembar2!$B$19:$C$24,2,FALSE)+7),"Delayed","Ontime")</f>
        <v>Ontime</v>
      </c>
      <c r="Q441" s="3">
        <f t="shared" si="45"/>
        <v>20126.52</v>
      </c>
      <c r="R441" s="3">
        <f t="shared" si="46"/>
        <v>19493.82</v>
      </c>
      <c r="S441" s="3">
        <f t="shared" si="47"/>
        <v>632.70000000000073</v>
      </c>
      <c r="T441">
        <f t="shared" si="48"/>
        <v>1</v>
      </c>
    </row>
    <row r="442" spans="1:20" x14ac:dyDescent="0.25">
      <c r="A442" t="s">
        <v>1245</v>
      </c>
      <c r="B442" t="s">
        <v>790</v>
      </c>
      <c r="C442" s="1">
        <v>45127</v>
      </c>
      <c r="D442" s="1">
        <f>IF(E442="",C442+VLOOKUP(B442,Lembar2!$B$19:$C$24,2,FALSE),'Procurement Dataset'!E442)</f>
        <v>45140</v>
      </c>
      <c r="E442" s="1">
        <v>45140</v>
      </c>
      <c r="F442" t="s">
        <v>817</v>
      </c>
      <c r="G442" t="s">
        <v>792</v>
      </c>
      <c r="H442" s="5">
        <v>928</v>
      </c>
      <c r="I442" s="3">
        <v>69.31</v>
      </c>
      <c r="J442" s="3">
        <v>67.260000000000005</v>
      </c>
      <c r="K442" s="5">
        <f t="shared" si="43"/>
        <v>20</v>
      </c>
      <c r="L442">
        <v>20</v>
      </c>
      <c r="M442" t="s">
        <v>793</v>
      </c>
      <c r="N442">
        <f t="shared" si="42"/>
        <v>13</v>
      </c>
      <c r="O442" t="str">
        <f t="shared" si="44"/>
        <v>Valid</v>
      </c>
      <c r="P442" s="1" t="str">
        <f>IF(N442&gt;=(VLOOKUP(B442,Lembar2!$B$19:$C$24,2,FALSE)+7),"Delayed","Ontime")</f>
        <v>Ontime</v>
      </c>
      <c r="Q442" s="3">
        <f t="shared" si="45"/>
        <v>64319.68</v>
      </c>
      <c r="R442" s="3">
        <f t="shared" si="46"/>
        <v>62417.280000000006</v>
      </c>
      <c r="S442" s="3">
        <f t="shared" si="47"/>
        <v>1902.3999999999942</v>
      </c>
      <c r="T442">
        <f t="shared" si="48"/>
        <v>1</v>
      </c>
    </row>
    <row r="443" spans="1:20" x14ac:dyDescent="0.25">
      <c r="A443" t="s">
        <v>1246</v>
      </c>
      <c r="B443" t="s">
        <v>807</v>
      </c>
      <c r="C443" s="1">
        <v>44713</v>
      </c>
      <c r="D443" s="1">
        <f>IF(E443="",C443+VLOOKUP(B443,Lembar2!$B$19:$C$24,2,FALSE),'Procurement Dataset'!E443)</f>
        <v>44724</v>
      </c>
      <c r="E443" s="1">
        <v>44724</v>
      </c>
      <c r="F443" t="s">
        <v>799</v>
      </c>
      <c r="G443" t="s">
        <v>811</v>
      </c>
      <c r="H443" s="5">
        <v>1009</v>
      </c>
      <c r="I443" s="3">
        <v>16.440000000000001</v>
      </c>
      <c r="J443" s="3">
        <v>16.18</v>
      </c>
      <c r="K443" s="5">
        <f t="shared" si="43"/>
        <v>0</v>
      </c>
      <c r="M443" t="s">
        <v>793</v>
      </c>
      <c r="N443">
        <f t="shared" si="42"/>
        <v>11</v>
      </c>
      <c r="O443" t="str">
        <f t="shared" si="44"/>
        <v>Valid</v>
      </c>
      <c r="P443" s="1" t="str">
        <f>IF(N443&gt;=(VLOOKUP(B443,Lembar2!$B$19:$C$24,2,FALSE)+7),"Delayed","Ontime")</f>
        <v>Ontime</v>
      </c>
      <c r="Q443" s="3">
        <f t="shared" si="45"/>
        <v>16587.960000000003</v>
      </c>
      <c r="R443" s="3">
        <f t="shared" si="46"/>
        <v>16325.619999999999</v>
      </c>
      <c r="S443" s="3">
        <f t="shared" si="47"/>
        <v>262.34000000000378</v>
      </c>
      <c r="T443">
        <f t="shared" si="48"/>
        <v>1</v>
      </c>
    </row>
    <row r="444" spans="1:20" x14ac:dyDescent="0.25">
      <c r="A444" t="s">
        <v>1247</v>
      </c>
      <c r="B444" t="s">
        <v>807</v>
      </c>
      <c r="C444" s="1">
        <v>45002</v>
      </c>
      <c r="D444" s="1">
        <f>IF(E444="",C444+VLOOKUP(B444,Lembar2!$B$19:$C$24,2,FALSE),'Procurement Dataset'!E444)</f>
        <v>45019</v>
      </c>
      <c r="E444" s="1">
        <v>45019</v>
      </c>
      <c r="F444" t="s">
        <v>817</v>
      </c>
      <c r="G444" t="s">
        <v>813</v>
      </c>
      <c r="H444" s="5">
        <v>1554</v>
      </c>
      <c r="I444" s="3">
        <v>82.92</v>
      </c>
      <c r="J444" s="3">
        <v>74.819999999999993</v>
      </c>
      <c r="K444" s="5">
        <f t="shared" si="43"/>
        <v>44</v>
      </c>
      <c r="L444">
        <v>44</v>
      </c>
      <c r="M444" t="s">
        <v>793</v>
      </c>
      <c r="N444">
        <f t="shared" si="42"/>
        <v>17</v>
      </c>
      <c r="O444" t="str">
        <f t="shared" si="44"/>
        <v>Valid</v>
      </c>
      <c r="P444" s="1" t="str">
        <f>IF(N444&gt;=(VLOOKUP(B444,Lembar2!$B$19:$C$24,2,FALSE)+7),"Delayed","Ontime")</f>
        <v>Ontime</v>
      </c>
      <c r="Q444" s="3">
        <f t="shared" si="45"/>
        <v>128857.68000000001</v>
      </c>
      <c r="R444" s="3">
        <f t="shared" si="46"/>
        <v>116270.27999999998</v>
      </c>
      <c r="S444" s="3">
        <f t="shared" si="47"/>
        <v>12587.400000000023</v>
      </c>
      <c r="T444">
        <f t="shared" si="48"/>
        <v>1</v>
      </c>
    </row>
    <row r="445" spans="1:20" x14ac:dyDescent="0.25">
      <c r="A445" t="s">
        <v>1248</v>
      </c>
      <c r="B445" t="s">
        <v>798</v>
      </c>
      <c r="C445" s="1">
        <v>44692</v>
      </c>
      <c r="D445" s="1">
        <f>IF(E445="",C445+VLOOKUP(B445,Lembar2!$B$19:$C$24,2,FALSE),'Procurement Dataset'!E445)</f>
        <v>44706</v>
      </c>
      <c r="E445" s="1">
        <v>44706</v>
      </c>
      <c r="F445" t="s">
        <v>802</v>
      </c>
      <c r="G445" t="s">
        <v>811</v>
      </c>
      <c r="H445" s="5">
        <v>502</v>
      </c>
      <c r="I445" s="3">
        <v>29.47</v>
      </c>
      <c r="J445" s="3">
        <v>28.94</v>
      </c>
      <c r="K445" s="5">
        <f t="shared" si="43"/>
        <v>27</v>
      </c>
      <c r="L445">
        <v>27</v>
      </c>
      <c r="M445" t="s">
        <v>793</v>
      </c>
      <c r="N445">
        <f t="shared" si="42"/>
        <v>14</v>
      </c>
      <c r="O445" t="str">
        <f t="shared" si="44"/>
        <v>Valid</v>
      </c>
      <c r="P445" s="1" t="str">
        <f>IF(N445&gt;=(VLOOKUP(B445,Lembar2!$B$19:$C$24,2,FALSE)+7),"Delayed","Ontime")</f>
        <v>Ontime</v>
      </c>
      <c r="Q445" s="3">
        <f t="shared" si="45"/>
        <v>14793.939999999999</v>
      </c>
      <c r="R445" s="3">
        <f t="shared" si="46"/>
        <v>14527.880000000001</v>
      </c>
      <c r="S445" s="3">
        <f t="shared" si="47"/>
        <v>266.05999999999767</v>
      </c>
      <c r="T445">
        <f t="shared" si="48"/>
        <v>1</v>
      </c>
    </row>
    <row r="446" spans="1:20" x14ac:dyDescent="0.25">
      <c r="A446" t="s">
        <v>1249</v>
      </c>
      <c r="B446" t="s">
        <v>795</v>
      </c>
      <c r="C446" s="1">
        <v>44604</v>
      </c>
      <c r="D446" s="1">
        <f>IF(E446="",C446+VLOOKUP(B446,Lembar2!$B$19:$C$24,2,FALSE),'Procurement Dataset'!E446)</f>
        <v>44605</v>
      </c>
      <c r="E446" s="1">
        <v>44605</v>
      </c>
      <c r="F446" t="s">
        <v>799</v>
      </c>
      <c r="G446" t="s">
        <v>796</v>
      </c>
      <c r="H446" s="5">
        <v>1069</v>
      </c>
      <c r="I446" s="3">
        <v>91.28</v>
      </c>
      <c r="J446" s="3">
        <v>82.64</v>
      </c>
      <c r="K446" s="5">
        <f t="shared" si="43"/>
        <v>0</v>
      </c>
      <c r="M446" t="s">
        <v>793</v>
      </c>
      <c r="N446">
        <f t="shared" si="42"/>
        <v>1</v>
      </c>
      <c r="O446" t="str">
        <f t="shared" si="44"/>
        <v>Valid</v>
      </c>
      <c r="P446" s="1" t="str">
        <f>IF(N446&gt;=(VLOOKUP(B446,Lembar2!$B$19:$C$24,2,FALSE)+7),"Delayed","Ontime")</f>
        <v>Ontime</v>
      </c>
      <c r="Q446" s="3">
        <f t="shared" si="45"/>
        <v>97578.32</v>
      </c>
      <c r="R446" s="3">
        <f t="shared" si="46"/>
        <v>88342.16</v>
      </c>
      <c r="S446" s="3">
        <f t="shared" si="47"/>
        <v>9236.1600000000035</v>
      </c>
      <c r="T446">
        <f t="shared" si="48"/>
        <v>1</v>
      </c>
    </row>
    <row r="447" spans="1:20" x14ac:dyDescent="0.25">
      <c r="A447" t="s">
        <v>1250</v>
      </c>
      <c r="B447" t="s">
        <v>790</v>
      </c>
      <c r="C447" s="1">
        <v>44877</v>
      </c>
      <c r="D447" s="1">
        <f>IF(E447="",C447+VLOOKUP(B447,Lembar2!$B$19:$C$24,2,FALSE),'Procurement Dataset'!E447)</f>
        <v>44883</v>
      </c>
      <c r="E447" s="1">
        <v>44883</v>
      </c>
      <c r="F447" t="s">
        <v>799</v>
      </c>
      <c r="G447" t="s">
        <v>813</v>
      </c>
      <c r="H447" s="5">
        <v>1902</v>
      </c>
      <c r="I447" s="3">
        <v>29.89</v>
      </c>
      <c r="J447" s="3">
        <v>25.83</v>
      </c>
      <c r="K447" s="5">
        <f t="shared" si="43"/>
        <v>41</v>
      </c>
      <c r="L447">
        <v>41</v>
      </c>
      <c r="M447" t="s">
        <v>793</v>
      </c>
      <c r="N447">
        <f t="shared" si="42"/>
        <v>6</v>
      </c>
      <c r="O447" t="str">
        <f t="shared" si="44"/>
        <v>Valid</v>
      </c>
      <c r="P447" s="1" t="str">
        <f>IF(N447&gt;=(VLOOKUP(B447,Lembar2!$B$19:$C$24,2,FALSE)+7),"Delayed","Ontime")</f>
        <v>Ontime</v>
      </c>
      <c r="Q447" s="3">
        <f t="shared" si="45"/>
        <v>56850.78</v>
      </c>
      <c r="R447" s="3">
        <f t="shared" si="46"/>
        <v>49128.659999999996</v>
      </c>
      <c r="S447" s="3">
        <f t="shared" si="47"/>
        <v>7722.1200000000026</v>
      </c>
      <c r="T447">
        <f t="shared" si="48"/>
        <v>1</v>
      </c>
    </row>
    <row r="448" spans="1:20" x14ac:dyDescent="0.25">
      <c r="A448" t="s">
        <v>1251</v>
      </c>
      <c r="B448" t="s">
        <v>798</v>
      </c>
      <c r="C448" s="1">
        <v>44935</v>
      </c>
      <c r="D448" s="1">
        <f>IF(E448="",C448+VLOOKUP(B448,Lembar2!$B$19:$C$24,2,FALSE),'Procurement Dataset'!E448)</f>
        <v>44945</v>
      </c>
      <c r="F448" t="s">
        <v>804</v>
      </c>
      <c r="G448" t="s">
        <v>813</v>
      </c>
      <c r="H448" s="5">
        <v>865</v>
      </c>
      <c r="I448" s="3">
        <v>28.79</v>
      </c>
      <c r="J448" s="3">
        <v>25.69</v>
      </c>
      <c r="K448" s="5">
        <f t="shared" si="43"/>
        <v>47</v>
      </c>
      <c r="L448">
        <v>47</v>
      </c>
      <c r="M448" t="s">
        <v>793</v>
      </c>
      <c r="N448" t="str">
        <f t="shared" si="42"/>
        <v/>
      </c>
      <c r="O448" t="str">
        <f t="shared" si="44"/>
        <v>Valid</v>
      </c>
      <c r="P448" s="1" t="str">
        <f>IF(N448&gt;=(VLOOKUP(B448,Lembar2!$B$19:$C$24,2,FALSE)+7),"Delayed","Ontime")</f>
        <v>Delayed</v>
      </c>
      <c r="Q448" s="3">
        <f t="shared" si="45"/>
        <v>24903.35</v>
      </c>
      <c r="R448" s="3">
        <f t="shared" si="46"/>
        <v>22221.850000000002</v>
      </c>
      <c r="S448" s="3">
        <f t="shared" si="47"/>
        <v>2681.4999999999964</v>
      </c>
      <c r="T448">
        <f t="shared" si="48"/>
        <v>0</v>
      </c>
    </row>
    <row r="449" spans="1:20" x14ac:dyDescent="0.25">
      <c r="A449" t="s">
        <v>1252</v>
      </c>
      <c r="B449" t="s">
        <v>795</v>
      </c>
      <c r="C449" s="1">
        <v>44602</v>
      </c>
      <c r="D449" s="1">
        <f>IF(E449="",C449+VLOOKUP(B449,Lembar2!$B$19:$C$24,2,FALSE),'Procurement Dataset'!E449)</f>
        <v>44618</v>
      </c>
      <c r="E449" s="1">
        <v>44618</v>
      </c>
      <c r="F449" t="s">
        <v>802</v>
      </c>
      <c r="G449" t="s">
        <v>811</v>
      </c>
      <c r="H449" s="5">
        <v>708</v>
      </c>
      <c r="I449" s="3">
        <v>13.36</v>
      </c>
      <c r="J449" s="3">
        <v>11.61</v>
      </c>
      <c r="K449" s="5">
        <f t="shared" si="43"/>
        <v>0</v>
      </c>
      <c r="M449" t="s">
        <v>805</v>
      </c>
      <c r="N449">
        <f t="shared" si="42"/>
        <v>16</v>
      </c>
      <c r="O449" t="str">
        <f t="shared" si="44"/>
        <v>Valid</v>
      </c>
      <c r="P449" s="1" t="str">
        <f>IF(N449&gt;=(VLOOKUP(B449,Lembar2!$B$19:$C$24,2,FALSE)+7),"Delayed","Ontime")</f>
        <v>Ontime</v>
      </c>
      <c r="Q449" s="3">
        <f t="shared" si="45"/>
        <v>9458.8799999999992</v>
      </c>
      <c r="R449" s="3">
        <f t="shared" si="46"/>
        <v>8219.8799999999992</v>
      </c>
      <c r="S449" s="3">
        <f t="shared" si="47"/>
        <v>1239</v>
      </c>
      <c r="T449">
        <f t="shared" si="48"/>
        <v>1</v>
      </c>
    </row>
    <row r="450" spans="1:20" x14ac:dyDescent="0.25">
      <c r="A450" t="s">
        <v>1253</v>
      </c>
      <c r="B450" t="s">
        <v>795</v>
      </c>
      <c r="C450" s="1">
        <v>44928</v>
      </c>
      <c r="D450" s="1">
        <f>IF(E450="",C450+VLOOKUP(B450,Lembar2!$B$19:$C$24,2,FALSE),'Procurement Dataset'!E450)</f>
        <v>44933</v>
      </c>
      <c r="E450" s="1">
        <v>44933</v>
      </c>
      <c r="F450" t="s">
        <v>802</v>
      </c>
      <c r="G450" t="s">
        <v>796</v>
      </c>
      <c r="H450" s="5">
        <v>1589</v>
      </c>
      <c r="I450" s="3">
        <v>55.64</v>
      </c>
      <c r="J450" s="3">
        <v>48.52</v>
      </c>
      <c r="K450" s="5">
        <f t="shared" si="43"/>
        <v>0</v>
      </c>
      <c r="M450" t="s">
        <v>793</v>
      </c>
      <c r="N450">
        <f t="shared" ref="N450:N513" si="49">IF(E450 = "", "", E450-C450)</f>
        <v>5</v>
      </c>
      <c r="O450" t="str">
        <f t="shared" si="44"/>
        <v>Valid</v>
      </c>
      <c r="P450" s="1" t="str">
        <f>IF(N450&gt;=(VLOOKUP(B450,Lembar2!$B$19:$C$24,2,FALSE)+7),"Delayed","Ontime")</f>
        <v>Ontime</v>
      </c>
      <c r="Q450" s="3">
        <f t="shared" si="45"/>
        <v>88411.96</v>
      </c>
      <c r="R450" s="3">
        <f t="shared" si="46"/>
        <v>77098.28</v>
      </c>
      <c r="S450" s="3">
        <f t="shared" si="47"/>
        <v>11313.680000000008</v>
      </c>
      <c r="T450">
        <f t="shared" si="48"/>
        <v>1</v>
      </c>
    </row>
    <row r="451" spans="1:20" x14ac:dyDescent="0.25">
      <c r="A451" t="s">
        <v>1254</v>
      </c>
      <c r="B451" t="s">
        <v>790</v>
      </c>
      <c r="C451" s="1">
        <v>44777</v>
      </c>
      <c r="D451" s="1">
        <f>IF(E451="",C451+VLOOKUP(B451,Lembar2!$B$19:$C$24,2,FALSE),'Procurement Dataset'!E451)</f>
        <v>44787</v>
      </c>
      <c r="E451" s="1">
        <v>44787</v>
      </c>
      <c r="F451" t="s">
        <v>791</v>
      </c>
      <c r="G451" t="s">
        <v>796</v>
      </c>
      <c r="H451" s="5">
        <v>596</v>
      </c>
      <c r="I451" s="3">
        <v>62.96</v>
      </c>
      <c r="J451" s="3">
        <v>61.88</v>
      </c>
      <c r="K451" s="5">
        <f t="shared" ref="K451:K514" si="50">IF(L451="", 0, L451)</f>
        <v>9</v>
      </c>
      <c r="L451">
        <v>9</v>
      </c>
      <c r="M451" t="s">
        <v>793</v>
      </c>
      <c r="N451">
        <f t="shared" si="49"/>
        <v>10</v>
      </c>
      <c r="O451" t="str">
        <f t="shared" ref="O451:O514" si="51">IF(D451&lt;C451,"Invalid","Valid")</f>
        <v>Valid</v>
      </c>
      <c r="P451" s="1" t="str">
        <f>IF(N451&gt;=(VLOOKUP(B451,Lembar2!$B$19:$C$24,2,FALSE)+7),"Delayed","Ontime")</f>
        <v>Ontime</v>
      </c>
      <c r="Q451" s="3">
        <f t="shared" ref="Q451:Q514" si="52">H451*I451</f>
        <v>37524.160000000003</v>
      </c>
      <c r="R451" s="3">
        <f t="shared" ref="R451:R514" si="53">H451*J451</f>
        <v>36880.480000000003</v>
      </c>
      <c r="S451" s="3">
        <f t="shared" ref="S451:S514" si="54">Q451-R451</f>
        <v>643.68000000000029</v>
      </c>
      <c r="T451">
        <f t="shared" ref="T451:T514" si="55">IF(P451="Ontime",1,0)</f>
        <v>1</v>
      </c>
    </row>
    <row r="452" spans="1:20" x14ac:dyDescent="0.25">
      <c r="A452" t="s">
        <v>1255</v>
      </c>
      <c r="B452" t="s">
        <v>807</v>
      </c>
      <c r="C452" s="1">
        <v>45260</v>
      </c>
      <c r="D452" s="1">
        <f>IF(E452="",C452+VLOOKUP(B452,Lembar2!$B$19:$C$24,2,FALSE),'Procurement Dataset'!E452)</f>
        <v>45264</v>
      </c>
      <c r="E452" s="1">
        <v>45264</v>
      </c>
      <c r="F452" t="s">
        <v>791</v>
      </c>
      <c r="G452" t="s">
        <v>796</v>
      </c>
      <c r="H452" s="5">
        <v>1265</v>
      </c>
      <c r="I452" s="3">
        <v>17.66</v>
      </c>
      <c r="J452" s="3">
        <v>16.97</v>
      </c>
      <c r="K452" s="5">
        <f t="shared" si="50"/>
        <v>34</v>
      </c>
      <c r="L452">
        <v>34</v>
      </c>
      <c r="M452" t="s">
        <v>793</v>
      </c>
      <c r="N452">
        <f t="shared" si="49"/>
        <v>4</v>
      </c>
      <c r="O452" t="str">
        <f t="shared" si="51"/>
        <v>Valid</v>
      </c>
      <c r="P452" s="1" t="str">
        <f>IF(N452&gt;=(VLOOKUP(B452,Lembar2!$B$19:$C$24,2,FALSE)+7),"Delayed","Ontime")</f>
        <v>Ontime</v>
      </c>
      <c r="Q452" s="3">
        <f t="shared" si="52"/>
        <v>22339.9</v>
      </c>
      <c r="R452" s="3">
        <f t="shared" si="53"/>
        <v>21467.05</v>
      </c>
      <c r="S452" s="3">
        <f t="shared" si="54"/>
        <v>872.85000000000218</v>
      </c>
      <c r="T452">
        <f t="shared" si="55"/>
        <v>1</v>
      </c>
    </row>
    <row r="453" spans="1:20" x14ac:dyDescent="0.25">
      <c r="A453" t="s">
        <v>1256</v>
      </c>
      <c r="B453" t="s">
        <v>801</v>
      </c>
      <c r="C453" s="1">
        <v>44817</v>
      </c>
      <c r="D453" s="1">
        <f>IF(E453="",C453+VLOOKUP(B453,Lembar2!$B$19:$C$24,2,FALSE),'Procurement Dataset'!E453)</f>
        <v>44835</v>
      </c>
      <c r="E453" s="1">
        <v>44835</v>
      </c>
      <c r="F453" t="s">
        <v>804</v>
      </c>
      <c r="G453" t="s">
        <v>796</v>
      </c>
      <c r="H453" s="5">
        <v>1122</v>
      </c>
      <c r="I453" s="3">
        <v>82.99</v>
      </c>
      <c r="J453" s="3">
        <v>81.7</v>
      </c>
      <c r="K453" s="5">
        <f t="shared" si="50"/>
        <v>118</v>
      </c>
      <c r="L453">
        <v>118</v>
      </c>
      <c r="M453" t="s">
        <v>805</v>
      </c>
      <c r="N453">
        <f t="shared" si="49"/>
        <v>18</v>
      </c>
      <c r="O453" t="str">
        <f t="shared" si="51"/>
        <v>Valid</v>
      </c>
      <c r="P453" s="1" t="str">
        <f>IF(N453&gt;=(VLOOKUP(B453,Lembar2!$B$19:$C$24,2,FALSE)+7),"Delayed","Ontime")</f>
        <v>Ontime</v>
      </c>
      <c r="Q453" s="3">
        <f t="shared" si="52"/>
        <v>93114.78</v>
      </c>
      <c r="R453" s="3">
        <f t="shared" si="53"/>
        <v>91667.400000000009</v>
      </c>
      <c r="S453" s="3">
        <f t="shared" si="54"/>
        <v>1447.3799999999901</v>
      </c>
      <c r="T453">
        <f t="shared" si="55"/>
        <v>1</v>
      </c>
    </row>
    <row r="454" spans="1:20" x14ac:dyDescent="0.25">
      <c r="A454" t="s">
        <v>1257</v>
      </c>
      <c r="B454" t="s">
        <v>807</v>
      </c>
      <c r="C454" s="1">
        <v>45244</v>
      </c>
      <c r="D454" s="1">
        <f>IF(E454="",C454+VLOOKUP(B454,Lembar2!$B$19:$C$24,2,FALSE),'Procurement Dataset'!E454)</f>
        <v>45261</v>
      </c>
      <c r="E454" s="1">
        <v>45261</v>
      </c>
      <c r="F454" t="s">
        <v>791</v>
      </c>
      <c r="G454" t="s">
        <v>796</v>
      </c>
      <c r="H454" s="5">
        <v>1585</v>
      </c>
      <c r="I454" s="3">
        <v>56.38</v>
      </c>
      <c r="J454" s="3">
        <v>53.05</v>
      </c>
      <c r="K454" s="5">
        <f t="shared" si="50"/>
        <v>0</v>
      </c>
      <c r="M454" t="s">
        <v>793</v>
      </c>
      <c r="N454">
        <f t="shared" si="49"/>
        <v>17</v>
      </c>
      <c r="O454" t="str">
        <f t="shared" si="51"/>
        <v>Valid</v>
      </c>
      <c r="P454" s="1" t="str">
        <f>IF(N454&gt;=(VLOOKUP(B454,Lembar2!$B$19:$C$24,2,FALSE)+7),"Delayed","Ontime")</f>
        <v>Ontime</v>
      </c>
      <c r="Q454" s="3">
        <f t="shared" si="52"/>
        <v>89362.3</v>
      </c>
      <c r="R454" s="3">
        <f t="shared" si="53"/>
        <v>84084.25</v>
      </c>
      <c r="S454" s="3">
        <f t="shared" si="54"/>
        <v>5278.0500000000029</v>
      </c>
      <c r="T454">
        <f t="shared" si="55"/>
        <v>1</v>
      </c>
    </row>
    <row r="455" spans="1:20" x14ac:dyDescent="0.25">
      <c r="A455" t="s">
        <v>1258</v>
      </c>
      <c r="B455" t="s">
        <v>807</v>
      </c>
      <c r="C455" s="1">
        <v>44667</v>
      </c>
      <c r="D455" s="1">
        <f>IF(E455="",C455+VLOOKUP(B455,Lembar2!$B$19:$C$24,2,FALSE),'Procurement Dataset'!E455)</f>
        <v>44678</v>
      </c>
      <c r="E455" s="1">
        <v>44678</v>
      </c>
      <c r="F455" t="s">
        <v>817</v>
      </c>
      <c r="G455" t="s">
        <v>796</v>
      </c>
      <c r="H455" s="5">
        <v>66</v>
      </c>
      <c r="I455" s="3">
        <v>58.05</v>
      </c>
      <c r="J455" s="3">
        <v>50.76</v>
      </c>
      <c r="K455" s="5">
        <f t="shared" si="50"/>
        <v>0</v>
      </c>
      <c r="M455" t="s">
        <v>793</v>
      </c>
      <c r="N455">
        <f t="shared" si="49"/>
        <v>11</v>
      </c>
      <c r="O455" t="str">
        <f t="shared" si="51"/>
        <v>Valid</v>
      </c>
      <c r="P455" s="1" t="str">
        <f>IF(N455&gt;=(VLOOKUP(B455,Lembar2!$B$19:$C$24,2,FALSE)+7),"Delayed","Ontime")</f>
        <v>Ontime</v>
      </c>
      <c r="Q455" s="3">
        <f t="shared" si="52"/>
        <v>3831.2999999999997</v>
      </c>
      <c r="R455" s="3">
        <f t="shared" si="53"/>
        <v>3350.16</v>
      </c>
      <c r="S455" s="3">
        <f t="shared" si="54"/>
        <v>481.13999999999987</v>
      </c>
      <c r="T455">
        <f t="shared" si="55"/>
        <v>1</v>
      </c>
    </row>
    <row r="456" spans="1:20" x14ac:dyDescent="0.25">
      <c r="A456" t="s">
        <v>1259</v>
      </c>
      <c r="B456" t="s">
        <v>801</v>
      </c>
      <c r="C456" s="1">
        <v>44924</v>
      </c>
      <c r="D456" s="1">
        <f>IF(E456="",C456+VLOOKUP(B456,Lembar2!$B$19:$C$24,2,FALSE),'Procurement Dataset'!E456)</f>
        <v>44944</v>
      </c>
      <c r="E456" s="1">
        <v>44944</v>
      </c>
      <c r="F456" t="s">
        <v>799</v>
      </c>
      <c r="G456" t="s">
        <v>796</v>
      </c>
      <c r="H456" s="5">
        <v>1245</v>
      </c>
      <c r="I456" s="3">
        <v>52.4</v>
      </c>
      <c r="J456" s="3">
        <v>51.65</v>
      </c>
      <c r="K456" s="5">
        <f t="shared" si="50"/>
        <v>118</v>
      </c>
      <c r="L456">
        <v>118</v>
      </c>
      <c r="M456" t="s">
        <v>805</v>
      </c>
      <c r="N456">
        <f t="shared" si="49"/>
        <v>20</v>
      </c>
      <c r="O456" t="str">
        <f t="shared" si="51"/>
        <v>Valid</v>
      </c>
      <c r="P456" s="1" t="str">
        <f>IF(N456&gt;=(VLOOKUP(B456,Lembar2!$B$19:$C$24,2,FALSE)+7),"Delayed","Ontime")</f>
        <v>Delayed</v>
      </c>
      <c r="Q456" s="3">
        <f t="shared" si="52"/>
        <v>65238</v>
      </c>
      <c r="R456" s="3">
        <f t="shared" si="53"/>
        <v>64304.25</v>
      </c>
      <c r="S456" s="3">
        <f t="shared" si="54"/>
        <v>933.75</v>
      </c>
      <c r="T456">
        <f t="shared" si="55"/>
        <v>0</v>
      </c>
    </row>
    <row r="457" spans="1:20" x14ac:dyDescent="0.25">
      <c r="A457" t="s">
        <v>1260</v>
      </c>
      <c r="B457" t="s">
        <v>795</v>
      </c>
      <c r="C457" s="1">
        <v>45135</v>
      </c>
      <c r="D457" s="1">
        <f>IF(E457="",C457+VLOOKUP(B457,Lembar2!$B$19:$C$24,2,FALSE),'Procurement Dataset'!E457)</f>
        <v>45148</v>
      </c>
      <c r="E457" s="1">
        <v>45148</v>
      </c>
      <c r="F457" t="s">
        <v>817</v>
      </c>
      <c r="G457" t="s">
        <v>796</v>
      </c>
      <c r="H457" s="5">
        <v>1293</v>
      </c>
      <c r="I457" s="3">
        <v>50.21</v>
      </c>
      <c r="J457" s="3">
        <v>47.55</v>
      </c>
      <c r="K457" s="5">
        <f t="shared" si="50"/>
        <v>0</v>
      </c>
      <c r="M457" t="s">
        <v>805</v>
      </c>
      <c r="N457">
        <f t="shared" si="49"/>
        <v>13</v>
      </c>
      <c r="O457" t="str">
        <f t="shared" si="51"/>
        <v>Valid</v>
      </c>
      <c r="P457" s="1" t="str">
        <f>IF(N457&gt;=(VLOOKUP(B457,Lembar2!$B$19:$C$24,2,FALSE)+7),"Delayed","Ontime")</f>
        <v>Ontime</v>
      </c>
      <c r="Q457" s="3">
        <f t="shared" si="52"/>
        <v>64921.53</v>
      </c>
      <c r="R457" s="3">
        <f t="shared" si="53"/>
        <v>61482.149999999994</v>
      </c>
      <c r="S457" s="3">
        <f t="shared" si="54"/>
        <v>3439.3800000000047</v>
      </c>
      <c r="T457">
        <f t="shared" si="55"/>
        <v>1</v>
      </c>
    </row>
    <row r="458" spans="1:20" x14ac:dyDescent="0.25">
      <c r="A458" t="s">
        <v>1261</v>
      </c>
      <c r="B458" t="s">
        <v>801</v>
      </c>
      <c r="C458" s="1">
        <v>44978</v>
      </c>
      <c r="D458" s="1">
        <f>IF(E458="",C458+VLOOKUP(B458,Lembar2!$B$19:$C$24,2,FALSE),'Procurement Dataset'!E458)</f>
        <v>44984</v>
      </c>
      <c r="E458" s="1">
        <v>44984</v>
      </c>
      <c r="F458" t="s">
        <v>802</v>
      </c>
      <c r="G458" t="s">
        <v>796</v>
      </c>
      <c r="H458" s="5">
        <v>207</v>
      </c>
      <c r="I458" s="3">
        <v>64.290000000000006</v>
      </c>
      <c r="J458" s="3">
        <v>63.01</v>
      </c>
      <c r="K458" s="5">
        <f t="shared" si="50"/>
        <v>25</v>
      </c>
      <c r="L458">
        <v>25</v>
      </c>
      <c r="M458" t="s">
        <v>793</v>
      </c>
      <c r="N458">
        <f t="shared" si="49"/>
        <v>6</v>
      </c>
      <c r="O458" t="str">
        <f t="shared" si="51"/>
        <v>Valid</v>
      </c>
      <c r="P458" s="1" t="str">
        <f>IF(N458&gt;=(VLOOKUP(B458,Lembar2!$B$19:$C$24,2,FALSE)+7),"Delayed","Ontime")</f>
        <v>Ontime</v>
      </c>
      <c r="Q458" s="3">
        <f t="shared" si="52"/>
        <v>13308.03</v>
      </c>
      <c r="R458" s="3">
        <f t="shared" si="53"/>
        <v>13043.07</v>
      </c>
      <c r="S458" s="3">
        <f t="shared" si="54"/>
        <v>264.96000000000095</v>
      </c>
      <c r="T458">
        <f t="shared" si="55"/>
        <v>1</v>
      </c>
    </row>
    <row r="459" spans="1:20" x14ac:dyDescent="0.25">
      <c r="A459" t="s">
        <v>1262</v>
      </c>
      <c r="B459" t="s">
        <v>801</v>
      </c>
      <c r="C459" s="1">
        <v>45197</v>
      </c>
      <c r="D459" s="1">
        <f>IF(E459="",C459+VLOOKUP(B459,Lembar2!$B$19:$C$24,2,FALSE),'Procurement Dataset'!E459)</f>
        <v>45217</v>
      </c>
      <c r="E459" s="1">
        <v>45217</v>
      </c>
      <c r="F459" t="s">
        <v>791</v>
      </c>
      <c r="G459" t="s">
        <v>796</v>
      </c>
      <c r="H459" s="5">
        <v>526</v>
      </c>
      <c r="I459" s="3">
        <v>26.37</v>
      </c>
      <c r="J459" s="3">
        <v>25.32</v>
      </c>
      <c r="K459" s="5">
        <f t="shared" si="50"/>
        <v>47</v>
      </c>
      <c r="L459">
        <v>47</v>
      </c>
      <c r="M459" t="s">
        <v>793</v>
      </c>
      <c r="N459">
        <f t="shared" si="49"/>
        <v>20</v>
      </c>
      <c r="O459" t="str">
        <f t="shared" si="51"/>
        <v>Valid</v>
      </c>
      <c r="P459" s="1" t="str">
        <f>IF(N459&gt;=(VLOOKUP(B459,Lembar2!$B$19:$C$24,2,FALSE)+7),"Delayed","Ontime")</f>
        <v>Delayed</v>
      </c>
      <c r="Q459" s="3">
        <f t="shared" si="52"/>
        <v>13870.62</v>
      </c>
      <c r="R459" s="3">
        <f t="shared" si="53"/>
        <v>13318.32</v>
      </c>
      <c r="S459" s="3">
        <f t="shared" si="54"/>
        <v>552.30000000000109</v>
      </c>
      <c r="T459">
        <f t="shared" si="55"/>
        <v>0</v>
      </c>
    </row>
    <row r="460" spans="1:20" x14ac:dyDescent="0.25">
      <c r="A460" t="s">
        <v>1263</v>
      </c>
      <c r="B460" t="s">
        <v>798</v>
      </c>
      <c r="C460" s="1">
        <v>44720</v>
      </c>
      <c r="D460" s="1">
        <f>IF(E460="",C460+VLOOKUP(B460,Lembar2!$B$19:$C$24,2,FALSE),'Procurement Dataset'!E460)</f>
        <v>44726</v>
      </c>
      <c r="E460" s="1">
        <v>44726</v>
      </c>
      <c r="F460" t="s">
        <v>817</v>
      </c>
      <c r="G460" t="s">
        <v>796</v>
      </c>
      <c r="H460" s="5">
        <v>1119</v>
      </c>
      <c r="I460" s="3">
        <v>27.03</v>
      </c>
      <c r="J460" s="3">
        <v>23.82</v>
      </c>
      <c r="K460" s="5">
        <f t="shared" si="50"/>
        <v>0</v>
      </c>
      <c r="M460" t="s">
        <v>793</v>
      </c>
      <c r="N460">
        <f t="shared" si="49"/>
        <v>6</v>
      </c>
      <c r="O460" t="str">
        <f t="shared" si="51"/>
        <v>Valid</v>
      </c>
      <c r="P460" s="1" t="str">
        <f>IF(N460&gt;=(VLOOKUP(B460,Lembar2!$B$19:$C$24,2,FALSE)+7),"Delayed","Ontime")</f>
        <v>Ontime</v>
      </c>
      <c r="Q460" s="3">
        <f t="shared" si="52"/>
        <v>30246.57</v>
      </c>
      <c r="R460" s="3">
        <f t="shared" si="53"/>
        <v>26654.58</v>
      </c>
      <c r="S460" s="3">
        <f t="shared" si="54"/>
        <v>3591.989999999998</v>
      </c>
      <c r="T460">
        <f t="shared" si="55"/>
        <v>1</v>
      </c>
    </row>
    <row r="461" spans="1:20" x14ac:dyDescent="0.25">
      <c r="A461" t="s">
        <v>1264</v>
      </c>
      <c r="B461" t="s">
        <v>798</v>
      </c>
      <c r="C461" s="1">
        <v>44804</v>
      </c>
      <c r="D461" s="1">
        <f>IF(E461="",C461+VLOOKUP(B461,Lembar2!$B$19:$C$24,2,FALSE),'Procurement Dataset'!E461)</f>
        <v>44806</v>
      </c>
      <c r="E461" s="1">
        <v>44806</v>
      </c>
      <c r="F461" t="s">
        <v>802</v>
      </c>
      <c r="G461" t="s">
        <v>796</v>
      </c>
      <c r="H461" s="5">
        <v>1446</v>
      </c>
      <c r="I461" s="3">
        <v>90.63</v>
      </c>
      <c r="J461" s="3">
        <v>84.51</v>
      </c>
      <c r="K461" s="5">
        <f t="shared" si="50"/>
        <v>77</v>
      </c>
      <c r="L461">
        <v>77</v>
      </c>
      <c r="M461" t="s">
        <v>793</v>
      </c>
      <c r="N461">
        <f t="shared" si="49"/>
        <v>2</v>
      </c>
      <c r="O461" t="str">
        <f t="shared" si="51"/>
        <v>Valid</v>
      </c>
      <c r="P461" s="1" t="str">
        <f>IF(N461&gt;=(VLOOKUP(B461,Lembar2!$B$19:$C$24,2,FALSE)+7),"Delayed","Ontime")</f>
        <v>Ontime</v>
      </c>
      <c r="Q461" s="3">
        <f t="shared" si="52"/>
        <v>131050.98</v>
      </c>
      <c r="R461" s="3">
        <f t="shared" si="53"/>
        <v>122201.46</v>
      </c>
      <c r="S461" s="3">
        <f t="shared" si="54"/>
        <v>8849.5199999999895</v>
      </c>
      <c r="T461">
        <f t="shared" si="55"/>
        <v>1</v>
      </c>
    </row>
    <row r="462" spans="1:20" x14ac:dyDescent="0.25">
      <c r="A462" t="s">
        <v>1265</v>
      </c>
      <c r="B462" t="s">
        <v>798</v>
      </c>
      <c r="C462" s="1">
        <v>44728</v>
      </c>
      <c r="D462" s="1">
        <f>IF(E462="",C462+VLOOKUP(B462,Lembar2!$B$19:$C$24,2,FALSE),'Procurement Dataset'!E462)</f>
        <v>44736</v>
      </c>
      <c r="E462" s="1">
        <v>44736</v>
      </c>
      <c r="F462" t="s">
        <v>791</v>
      </c>
      <c r="G462" t="s">
        <v>796</v>
      </c>
      <c r="H462" s="5">
        <v>567</v>
      </c>
      <c r="I462" s="3">
        <v>97.53</v>
      </c>
      <c r="J462" s="3">
        <v>85.29</v>
      </c>
      <c r="K462" s="5">
        <f t="shared" si="50"/>
        <v>21</v>
      </c>
      <c r="L462">
        <v>21</v>
      </c>
      <c r="M462" t="s">
        <v>793</v>
      </c>
      <c r="N462">
        <f t="shared" si="49"/>
        <v>8</v>
      </c>
      <c r="O462" t="str">
        <f t="shared" si="51"/>
        <v>Valid</v>
      </c>
      <c r="P462" s="1" t="str">
        <f>IF(N462&gt;=(VLOOKUP(B462,Lembar2!$B$19:$C$24,2,FALSE)+7),"Delayed","Ontime")</f>
        <v>Ontime</v>
      </c>
      <c r="Q462" s="3">
        <f t="shared" si="52"/>
        <v>55299.51</v>
      </c>
      <c r="R462" s="3">
        <f t="shared" si="53"/>
        <v>48359.43</v>
      </c>
      <c r="S462" s="3">
        <f t="shared" si="54"/>
        <v>6940.0800000000017</v>
      </c>
      <c r="T462">
        <f t="shared" si="55"/>
        <v>1</v>
      </c>
    </row>
    <row r="463" spans="1:20" x14ac:dyDescent="0.25">
      <c r="A463" t="s">
        <v>1266</v>
      </c>
      <c r="B463" t="s">
        <v>795</v>
      </c>
      <c r="C463" s="1">
        <v>44743</v>
      </c>
      <c r="D463" s="1">
        <f>IF(E463="",C463+VLOOKUP(B463,Lembar2!$B$19:$C$24,2,FALSE),'Procurement Dataset'!E463)</f>
        <v>44754</v>
      </c>
      <c r="F463" t="s">
        <v>799</v>
      </c>
      <c r="G463" t="s">
        <v>796</v>
      </c>
      <c r="H463" s="5">
        <v>148</v>
      </c>
      <c r="I463" s="3">
        <v>44.91</v>
      </c>
      <c r="J463" s="3">
        <v>40.1</v>
      </c>
      <c r="K463" s="5">
        <f t="shared" si="50"/>
        <v>0</v>
      </c>
      <c r="M463" t="s">
        <v>805</v>
      </c>
      <c r="N463" t="str">
        <f t="shared" si="49"/>
        <v/>
      </c>
      <c r="O463" t="str">
        <f t="shared" si="51"/>
        <v>Valid</v>
      </c>
      <c r="P463" s="1" t="str">
        <f>IF(N463&gt;=(VLOOKUP(B463,Lembar2!$B$19:$C$24,2,FALSE)+7),"Delayed","Ontime")</f>
        <v>Delayed</v>
      </c>
      <c r="Q463" s="3">
        <f t="shared" si="52"/>
        <v>6646.6799999999994</v>
      </c>
      <c r="R463" s="3">
        <f t="shared" si="53"/>
        <v>5934.8</v>
      </c>
      <c r="S463" s="3">
        <f t="shared" si="54"/>
        <v>711.8799999999992</v>
      </c>
      <c r="T463">
        <f t="shared" si="55"/>
        <v>0</v>
      </c>
    </row>
    <row r="464" spans="1:20" x14ac:dyDescent="0.25">
      <c r="A464" t="s">
        <v>1267</v>
      </c>
      <c r="B464" t="s">
        <v>801</v>
      </c>
      <c r="C464" s="1">
        <v>44984</v>
      </c>
      <c r="D464" s="1">
        <f>IF(E464="",C464+VLOOKUP(B464,Lembar2!$B$19:$C$24,2,FALSE),'Procurement Dataset'!E464)</f>
        <v>44999</v>
      </c>
      <c r="E464" s="1">
        <v>44999</v>
      </c>
      <c r="F464" t="s">
        <v>799</v>
      </c>
      <c r="G464" t="s">
        <v>813</v>
      </c>
      <c r="H464" s="5">
        <v>1965</v>
      </c>
      <c r="I464" s="3">
        <v>36.6</v>
      </c>
      <c r="J464" s="3">
        <v>34.64</v>
      </c>
      <c r="K464" s="5">
        <f t="shared" si="50"/>
        <v>195</v>
      </c>
      <c r="L464">
        <v>195</v>
      </c>
      <c r="M464" t="s">
        <v>793</v>
      </c>
      <c r="N464">
        <f t="shared" si="49"/>
        <v>15</v>
      </c>
      <c r="O464" t="str">
        <f t="shared" si="51"/>
        <v>Valid</v>
      </c>
      <c r="P464" s="1" t="str">
        <f>IF(N464&gt;=(VLOOKUP(B464,Lembar2!$B$19:$C$24,2,FALSE)+7),"Delayed","Ontime")</f>
        <v>Ontime</v>
      </c>
      <c r="Q464" s="3">
        <f t="shared" si="52"/>
        <v>71919</v>
      </c>
      <c r="R464" s="3">
        <f t="shared" si="53"/>
        <v>68067.600000000006</v>
      </c>
      <c r="S464" s="3">
        <f t="shared" si="54"/>
        <v>3851.3999999999942</v>
      </c>
      <c r="T464">
        <f t="shared" si="55"/>
        <v>1</v>
      </c>
    </row>
    <row r="465" spans="1:20" x14ac:dyDescent="0.25">
      <c r="A465" t="s">
        <v>1268</v>
      </c>
      <c r="B465" t="s">
        <v>790</v>
      </c>
      <c r="C465" s="1">
        <v>44587</v>
      </c>
      <c r="D465" s="1">
        <f>IF(E465="",C465+VLOOKUP(B465,Lembar2!$B$19:$C$24,2,FALSE),'Procurement Dataset'!E465)</f>
        <v>44595</v>
      </c>
      <c r="E465" s="1">
        <v>44595</v>
      </c>
      <c r="F465" t="s">
        <v>791</v>
      </c>
      <c r="G465" t="s">
        <v>813</v>
      </c>
      <c r="H465" s="5">
        <v>1818</v>
      </c>
      <c r="I465" s="3">
        <v>67.959999999999994</v>
      </c>
      <c r="J465" s="3">
        <v>58.98</v>
      </c>
      <c r="K465" s="5">
        <f t="shared" si="50"/>
        <v>0</v>
      </c>
      <c r="M465" t="s">
        <v>793</v>
      </c>
      <c r="N465">
        <f t="shared" si="49"/>
        <v>8</v>
      </c>
      <c r="O465" t="str">
        <f t="shared" si="51"/>
        <v>Valid</v>
      </c>
      <c r="P465" s="1" t="str">
        <f>IF(N465&gt;=(VLOOKUP(B465,Lembar2!$B$19:$C$24,2,FALSE)+7),"Delayed","Ontime")</f>
        <v>Ontime</v>
      </c>
      <c r="Q465" s="3">
        <f t="shared" si="52"/>
        <v>123551.27999999998</v>
      </c>
      <c r="R465" s="3">
        <f t="shared" si="53"/>
        <v>107225.64</v>
      </c>
      <c r="S465" s="3">
        <f t="shared" si="54"/>
        <v>16325.639999999985</v>
      </c>
      <c r="T465">
        <f t="shared" si="55"/>
        <v>1</v>
      </c>
    </row>
    <row r="466" spans="1:20" x14ac:dyDescent="0.25">
      <c r="A466" t="s">
        <v>1269</v>
      </c>
      <c r="B466" t="s">
        <v>801</v>
      </c>
      <c r="C466" s="1">
        <v>44745</v>
      </c>
      <c r="D466" s="1">
        <f>IF(E466="",C466+VLOOKUP(B466,Lembar2!$B$19:$C$24,2,FALSE),'Procurement Dataset'!E466)</f>
        <v>44761</v>
      </c>
      <c r="E466" s="1">
        <v>44761</v>
      </c>
      <c r="F466" t="s">
        <v>799</v>
      </c>
      <c r="G466" t="s">
        <v>796</v>
      </c>
      <c r="H466" s="5">
        <v>1110</v>
      </c>
      <c r="I466" s="3">
        <v>48.19</v>
      </c>
      <c r="J466" s="3">
        <v>45.88</v>
      </c>
      <c r="K466" s="5">
        <f t="shared" si="50"/>
        <v>112</v>
      </c>
      <c r="L466">
        <v>112</v>
      </c>
      <c r="M466" t="s">
        <v>793</v>
      </c>
      <c r="N466">
        <f t="shared" si="49"/>
        <v>16</v>
      </c>
      <c r="O466" t="str">
        <f t="shared" si="51"/>
        <v>Valid</v>
      </c>
      <c r="P466" s="1" t="str">
        <f>IF(N466&gt;=(VLOOKUP(B466,Lembar2!$B$19:$C$24,2,FALSE)+7),"Delayed","Ontime")</f>
        <v>Ontime</v>
      </c>
      <c r="Q466" s="3">
        <f t="shared" si="52"/>
        <v>53490.899999999994</v>
      </c>
      <c r="R466" s="3">
        <f t="shared" si="53"/>
        <v>50926.8</v>
      </c>
      <c r="S466" s="3">
        <f t="shared" si="54"/>
        <v>2564.0999999999913</v>
      </c>
      <c r="T466">
        <f t="shared" si="55"/>
        <v>1</v>
      </c>
    </row>
    <row r="467" spans="1:20" x14ac:dyDescent="0.25">
      <c r="A467" t="s">
        <v>1270</v>
      </c>
      <c r="B467" t="s">
        <v>795</v>
      </c>
      <c r="C467" s="1">
        <v>44902</v>
      </c>
      <c r="D467" s="1">
        <f>IF(E467="",C467+VLOOKUP(B467,Lembar2!$B$19:$C$24,2,FALSE),'Procurement Dataset'!E467)</f>
        <v>44913</v>
      </c>
      <c r="F467" t="s">
        <v>804</v>
      </c>
      <c r="G467" t="s">
        <v>796</v>
      </c>
      <c r="H467" s="5">
        <v>329</v>
      </c>
      <c r="I467" s="3">
        <v>12.96</v>
      </c>
      <c r="J467" s="3">
        <v>12.74</v>
      </c>
      <c r="K467" s="5">
        <f t="shared" si="50"/>
        <v>48</v>
      </c>
      <c r="L467">
        <v>48</v>
      </c>
      <c r="M467" t="s">
        <v>793</v>
      </c>
      <c r="N467" t="str">
        <f t="shared" si="49"/>
        <v/>
      </c>
      <c r="O467" t="str">
        <f t="shared" si="51"/>
        <v>Valid</v>
      </c>
      <c r="P467" s="1" t="str">
        <f>IF(N467&gt;=(VLOOKUP(B467,Lembar2!$B$19:$C$24,2,FALSE)+7),"Delayed","Ontime")</f>
        <v>Delayed</v>
      </c>
      <c r="Q467" s="3">
        <f t="shared" si="52"/>
        <v>4263.84</v>
      </c>
      <c r="R467" s="3">
        <f t="shared" si="53"/>
        <v>4191.46</v>
      </c>
      <c r="S467" s="3">
        <f t="shared" si="54"/>
        <v>72.380000000000109</v>
      </c>
      <c r="T467">
        <f t="shared" si="55"/>
        <v>0</v>
      </c>
    </row>
    <row r="468" spans="1:20" x14ac:dyDescent="0.25">
      <c r="A468" t="s">
        <v>1271</v>
      </c>
      <c r="B468" t="s">
        <v>798</v>
      </c>
      <c r="C468" s="1">
        <v>44983</v>
      </c>
      <c r="D468" s="1">
        <f>IF(E468="",C468+VLOOKUP(B468,Lembar2!$B$19:$C$24,2,FALSE),'Procurement Dataset'!E468)</f>
        <v>45002</v>
      </c>
      <c r="E468" s="1">
        <v>45002</v>
      </c>
      <c r="F468" t="s">
        <v>791</v>
      </c>
      <c r="G468" t="s">
        <v>792</v>
      </c>
      <c r="H468" s="5">
        <v>1422</v>
      </c>
      <c r="I468" s="3">
        <v>25.62</v>
      </c>
      <c r="J468" s="3">
        <v>25.18</v>
      </c>
      <c r="K468" s="5">
        <f t="shared" si="50"/>
        <v>65</v>
      </c>
      <c r="L468">
        <v>65</v>
      </c>
      <c r="M468" t="s">
        <v>793</v>
      </c>
      <c r="N468">
        <f t="shared" si="49"/>
        <v>19</v>
      </c>
      <c r="O468" t="str">
        <f t="shared" si="51"/>
        <v>Valid</v>
      </c>
      <c r="P468" s="1" t="str">
        <f>IF(N468&gt;=(VLOOKUP(B468,Lembar2!$B$19:$C$24,2,FALSE)+7),"Delayed","Ontime")</f>
        <v>Delayed</v>
      </c>
      <c r="Q468" s="3">
        <f t="shared" si="52"/>
        <v>36431.64</v>
      </c>
      <c r="R468" s="3">
        <f t="shared" si="53"/>
        <v>35805.96</v>
      </c>
      <c r="S468" s="3">
        <f t="shared" si="54"/>
        <v>625.68000000000029</v>
      </c>
      <c r="T468">
        <f t="shared" si="55"/>
        <v>0</v>
      </c>
    </row>
    <row r="469" spans="1:20" x14ac:dyDescent="0.25">
      <c r="A469" t="s">
        <v>1272</v>
      </c>
      <c r="B469" t="s">
        <v>795</v>
      </c>
      <c r="C469" s="1">
        <v>45247</v>
      </c>
      <c r="D469" s="1">
        <f>IF(E469="",C469+VLOOKUP(B469,Lembar2!$B$19:$C$24,2,FALSE),'Procurement Dataset'!E469)</f>
        <v>45258</v>
      </c>
      <c r="F469" t="s">
        <v>804</v>
      </c>
      <c r="G469" t="s">
        <v>796</v>
      </c>
      <c r="H469" s="5">
        <v>546</v>
      </c>
      <c r="I469" s="3">
        <v>82.63</v>
      </c>
      <c r="J469" s="3">
        <v>74.77</v>
      </c>
      <c r="K469" s="5">
        <f t="shared" si="50"/>
        <v>76</v>
      </c>
      <c r="L469">
        <v>76</v>
      </c>
      <c r="M469" t="s">
        <v>805</v>
      </c>
      <c r="N469" t="str">
        <f t="shared" si="49"/>
        <v/>
      </c>
      <c r="O469" t="str">
        <f t="shared" si="51"/>
        <v>Valid</v>
      </c>
      <c r="P469" s="1" t="str">
        <f>IF(N469&gt;=(VLOOKUP(B469,Lembar2!$B$19:$C$24,2,FALSE)+7),"Delayed","Ontime")</f>
        <v>Delayed</v>
      </c>
      <c r="Q469" s="3">
        <f t="shared" si="52"/>
        <v>45115.979999999996</v>
      </c>
      <c r="R469" s="3">
        <f t="shared" si="53"/>
        <v>40824.42</v>
      </c>
      <c r="S469" s="3">
        <f t="shared" si="54"/>
        <v>4291.5599999999977</v>
      </c>
      <c r="T469">
        <f t="shared" si="55"/>
        <v>0</v>
      </c>
    </row>
    <row r="470" spans="1:20" x14ac:dyDescent="0.25">
      <c r="A470" t="s">
        <v>1273</v>
      </c>
      <c r="B470" t="s">
        <v>798</v>
      </c>
      <c r="C470" s="1">
        <v>44816</v>
      </c>
      <c r="D470" s="1">
        <f>IF(E470="",C470+VLOOKUP(B470,Lembar2!$B$19:$C$24,2,FALSE),'Procurement Dataset'!E470)</f>
        <v>44826</v>
      </c>
      <c r="E470" s="1">
        <v>44826</v>
      </c>
      <c r="F470" t="s">
        <v>791</v>
      </c>
      <c r="G470" t="s">
        <v>811</v>
      </c>
      <c r="H470" s="5">
        <v>351</v>
      </c>
      <c r="I470" s="3">
        <v>72.08</v>
      </c>
      <c r="J470" s="3">
        <v>71.3</v>
      </c>
      <c r="K470" s="5">
        <f t="shared" si="50"/>
        <v>20</v>
      </c>
      <c r="L470">
        <v>20</v>
      </c>
      <c r="M470" t="s">
        <v>793</v>
      </c>
      <c r="N470">
        <f t="shared" si="49"/>
        <v>10</v>
      </c>
      <c r="O470" t="str">
        <f t="shared" si="51"/>
        <v>Valid</v>
      </c>
      <c r="P470" s="1" t="str">
        <f>IF(N470&gt;=(VLOOKUP(B470,Lembar2!$B$19:$C$24,2,FALSE)+7),"Delayed","Ontime")</f>
        <v>Ontime</v>
      </c>
      <c r="Q470" s="3">
        <f t="shared" si="52"/>
        <v>25300.079999999998</v>
      </c>
      <c r="R470" s="3">
        <f t="shared" si="53"/>
        <v>25026.3</v>
      </c>
      <c r="S470" s="3">
        <f t="shared" si="54"/>
        <v>273.77999999999884</v>
      </c>
      <c r="T470">
        <f t="shared" si="55"/>
        <v>1</v>
      </c>
    </row>
    <row r="471" spans="1:20" x14ac:dyDescent="0.25">
      <c r="A471" t="s">
        <v>1274</v>
      </c>
      <c r="B471" t="s">
        <v>795</v>
      </c>
      <c r="C471" s="1">
        <v>44835</v>
      </c>
      <c r="D471" s="1">
        <f>IF(E471="",C471+VLOOKUP(B471,Lembar2!$B$19:$C$24,2,FALSE),'Procurement Dataset'!E471)</f>
        <v>44852</v>
      </c>
      <c r="E471" s="1">
        <v>44852</v>
      </c>
      <c r="F471" t="s">
        <v>804</v>
      </c>
      <c r="G471" t="s">
        <v>811</v>
      </c>
      <c r="H471" s="5">
        <v>230</v>
      </c>
      <c r="I471" s="3">
        <v>13</v>
      </c>
      <c r="J471" s="3">
        <v>12.81</v>
      </c>
      <c r="K471" s="5">
        <f t="shared" si="50"/>
        <v>0</v>
      </c>
      <c r="M471" t="s">
        <v>805</v>
      </c>
      <c r="N471">
        <f t="shared" si="49"/>
        <v>17</v>
      </c>
      <c r="O471" t="str">
        <f t="shared" si="51"/>
        <v>Valid</v>
      </c>
      <c r="P471" s="1" t="str">
        <f>IF(N471&gt;=(VLOOKUP(B471,Lembar2!$B$19:$C$24,2,FALSE)+7),"Delayed","Ontime")</f>
        <v>Ontime</v>
      </c>
      <c r="Q471" s="3">
        <f t="shared" si="52"/>
        <v>2990</v>
      </c>
      <c r="R471" s="3">
        <f t="shared" si="53"/>
        <v>2946.3</v>
      </c>
      <c r="S471" s="3">
        <f t="shared" si="54"/>
        <v>43.699999999999818</v>
      </c>
      <c r="T471">
        <f t="shared" si="55"/>
        <v>1</v>
      </c>
    </row>
    <row r="472" spans="1:20" x14ac:dyDescent="0.25">
      <c r="A472" t="s">
        <v>1275</v>
      </c>
      <c r="B472" t="s">
        <v>790</v>
      </c>
      <c r="C472" s="1">
        <v>44725</v>
      </c>
      <c r="D472" s="1">
        <f>IF(E472="",C472+VLOOKUP(B472,Lembar2!$B$19:$C$24,2,FALSE),'Procurement Dataset'!E472)</f>
        <v>44731</v>
      </c>
      <c r="E472" s="1">
        <v>44731</v>
      </c>
      <c r="F472" t="s">
        <v>799</v>
      </c>
      <c r="G472" t="s">
        <v>796</v>
      </c>
      <c r="H472" s="5">
        <v>656</v>
      </c>
      <c r="I472" s="3">
        <v>30.73</v>
      </c>
      <c r="J472" s="3">
        <v>26.26</v>
      </c>
      <c r="K472" s="5">
        <f t="shared" si="50"/>
        <v>17</v>
      </c>
      <c r="L472">
        <v>17</v>
      </c>
      <c r="M472" t="s">
        <v>793</v>
      </c>
      <c r="N472">
        <f t="shared" si="49"/>
        <v>6</v>
      </c>
      <c r="O472" t="str">
        <f t="shared" si="51"/>
        <v>Valid</v>
      </c>
      <c r="P472" s="1" t="str">
        <f>IF(N472&gt;=(VLOOKUP(B472,Lembar2!$B$19:$C$24,2,FALSE)+7),"Delayed","Ontime")</f>
        <v>Ontime</v>
      </c>
      <c r="Q472" s="3">
        <f t="shared" si="52"/>
        <v>20158.88</v>
      </c>
      <c r="R472" s="3">
        <f t="shared" si="53"/>
        <v>17226.560000000001</v>
      </c>
      <c r="S472" s="3">
        <f t="shared" si="54"/>
        <v>2932.3199999999997</v>
      </c>
      <c r="T472">
        <f t="shared" si="55"/>
        <v>1</v>
      </c>
    </row>
    <row r="473" spans="1:20" x14ac:dyDescent="0.25">
      <c r="A473" t="s">
        <v>1276</v>
      </c>
      <c r="B473" t="s">
        <v>798</v>
      </c>
      <c r="C473" s="1">
        <v>45280</v>
      </c>
      <c r="D473" s="1">
        <f>IF(E473="",C473+VLOOKUP(B473,Lembar2!$B$19:$C$24,2,FALSE),'Procurement Dataset'!E473)</f>
        <v>45300</v>
      </c>
      <c r="E473" s="1">
        <v>45300</v>
      </c>
      <c r="F473" t="s">
        <v>799</v>
      </c>
      <c r="G473" t="s">
        <v>796</v>
      </c>
      <c r="H473" s="5">
        <v>1172</v>
      </c>
      <c r="I473" s="3">
        <v>34.340000000000003</v>
      </c>
      <c r="J473" s="3">
        <v>32.090000000000003</v>
      </c>
      <c r="K473" s="5">
        <f t="shared" si="50"/>
        <v>69</v>
      </c>
      <c r="L473">
        <v>69</v>
      </c>
      <c r="M473" t="s">
        <v>793</v>
      </c>
      <c r="N473">
        <f t="shared" si="49"/>
        <v>20</v>
      </c>
      <c r="O473" t="str">
        <f t="shared" si="51"/>
        <v>Valid</v>
      </c>
      <c r="P473" s="1" t="str">
        <f>IF(N473&gt;=(VLOOKUP(B473,Lembar2!$B$19:$C$24,2,FALSE)+7),"Delayed","Ontime")</f>
        <v>Delayed</v>
      </c>
      <c r="Q473" s="3">
        <f t="shared" si="52"/>
        <v>40246.480000000003</v>
      </c>
      <c r="R473" s="3">
        <f t="shared" si="53"/>
        <v>37609.480000000003</v>
      </c>
      <c r="S473" s="3">
        <f t="shared" si="54"/>
        <v>2637</v>
      </c>
      <c r="T473">
        <f t="shared" si="55"/>
        <v>0</v>
      </c>
    </row>
    <row r="474" spans="1:20" x14ac:dyDescent="0.25">
      <c r="A474" t="s">
        <v>1277</v>
      </c>
      <c r="B474" t="s">
        <v>798</v>
      </c>
      <c r="C474" s="1">
        <v>44672</v>
      </c>
      <c r="D474" s="1">
        <f>IF(E474="",C474+VLOOKUP(B474,Lembar2!$B$19:$C$24,2,FALSE),'Procurement Dataset'!E474)</f>
        <v>44681</v>
      </c>
      <c r="E474" s="1">
        <v>44681</v>
      </c>
      <c r="F474" t="s">
        <v>817</v>
      </c>
      <c r="G474" t="s">
        <v>796</v>
      </c>
      <c r="H474" s="5">
        <v>749</v>
      </c>
      <c r="I474" s="3">
        <v>71.53</v>
      </c>
      <c r="J474" s="3">
        <v>70.02</v>
      </c>
      <c r="K474" s="5">
        <f t="shared" si="50"/>
        <v>41</v>
      </c>
      <c r="L474">
        <v>41</v>
      </c>
      <c r="M474" t="s">
        <v>793</v>
      </c>
      <c r="N474">
        <f t="shared" si="49"/>
        <v>9</v>
      </c>
      <c r="O474" t="str">
        <f t="shared" si="51"/>
        <v>Valid</v>
      </c>
      <c r="P474" s="1" t="str">
        <f>IF(N474&gt;=(VLOOKUP(B474,Lembar2!$B$19:$C$24,2,FALSE)+7),"Delayed","Ontime")</f>
        <v>Ontime</v>
      </c>
      <c r="Q474" s="3">
        <f t="shared" si="52"/>
        <v>53575.97</v>
      </c>
      <c r="R474" s="3">
        <f t="shared" si="53"/>
        <v>52444.979999999996</v>
      </c>
      <c r="S474" s="3">
        <f t="shared" si="54"/>
        <v>1130.9900000000052</v>
      </c>
      <c r="T474">
        <f t="shared" si="55"/>
        <v>1</v>
      </c>
    </row>
    <row r="475" spans="1:20" x14ac:dyDescent="0.25">
      <c r="A475" t="s">
        <v>1278</v>
      </c>
      <c r="B475" t="s">
        <v>801</v>
      </c>
      <c r="C475" s="1">
        <v>44953</v>
      </c>
      <c r="D475" s="1">
        <f>IF(E475="",C475+VLOOKUP(B475,Lembar2!$B$19:$C$24,2,FALSE),'Procurement Dataset'!E475)</f>
        <v>44969</v>
      </c>
      <c r="E475" s="1">
        <v>44969</v>
      </c>
      <c r="F475" t="s">
        <v>802</v>
      </c>
      <c r="G475" t="s">
        <v>796</v>
      </c>
      <c r="H475" s="5">
        <v>1042</v>
      </c>
      <c r="I475" s="3">
        <v>12.48</v>
      </c>
      <c r="J475" s="3">
        <v>12.3</v>
      </c>
      <c r="K475" s="5">
        <f t="shared" si="50"/>
        <v>88</v>
      </c>
      <c r="L475">
        <v>88</v>
      </c>
      <c r="M475" t="s">
        <v>793</v>
      </c>
      <c r="N475">
        <f t="shared" si="49"/>
        <v>16</v>
      </c>
      <c r="O475" t="str">
        <f t="shared" si="51"/>
        <v>Valid</v>
      </c>
      <c r="P475" s="1" t="str">
        <f>IF(N475&gt;=(VLOOKUP(B475,Lembar2!$B$19:$C$24,2,FALSE)+7),"Delayed","Ontime")</f>
        <v>Ontime</v>
      </c>
      <c r="Q475" s="3">
        <f t="shared" si="52"/>
        <v>13004.16</v>
      </c>
      <c r="R475" s="3">
        <f t="shared" si="53"/>
        <v>12816.6</v>
      </c>
      <c r="S475" s="3">
        <f t="shared" si="54"/>
        <v>187.55999999999949</v>
      </c>
      <c r="T475">
        <f t="shared" si="55"/>
        <v>1</v>
      </c>
    </row>
    <row r="476" spans="1:20" x14ac:dyDescent="0.25">
      <c r="A476" t="s">
        <v>1279</v>
      </c>
      <c r="B476" t="s">
        <v>795</v>
      </c>
      <c r="C476" s="1">
        <v>44601</v>
      </c>
      <c r="D476" s="1">
        <f>IF(E476="",C476+VLOOKUP(B476,Lembar2!$B$19:$C$24,2,FALSE),'Procurement Dataset'!E476)</f>
        <v>44619</v>
      </c>
      <c r="E476" s="1">
        <v>44619</v>
      </c>
      <c r="F476" t="s">
        <v>804</v>
      </c>
      <c r="G476" t="s">
        <v>796</v>
      </c>
      <c r="H476" s="5">
        <v>1189</v>
      </c>
      <c r="I476" s="3">
        <v>19.47</v>
      </c>
      <c r="J476" s="3">
        <v>17.149999999999999</v>
      </c>
      <c r="K476" s="5">
        <f t="shared" si="50"/>
        <v>0</v>
      </c>
      <c r="M476" t="s">
        <v>805</v>
      </c>
      <c r="N476">
        <f t="shared" si="49"/>
        <v>18</v>
      </c>
      <c r="O476" t="str">
        <f t="shared" si="51"/>
        <v>Valid</v>
      </c>
      <c r="P476" s="1" t="str">
        <f>IF(N476&gt;=(VLOOKUP(B476,Lembar2!$B$19:$C$24,2,FALSE)+7),"Delayed","Ontime")</f>
        <v>Delayed</v>
      </c>
      <c r="Q476" s="3">
        <f t="shared" si="52"/>
        <v>23149.829999999998</v>
      </c>
      <c r="R476" s="3">
        <f t="shared" si="53"/>
        <v>20391.349999999999</v>
      </c>
      <c r="S476" s="3">
        <f t="shared" si="54"/>
        <v>2758.4799999999996</v>
      </c>
      <c r="T476">
        <f t="shared" si="55"/>
        <v>0</v>
      </c>
    </row>
    <row r="477" spans="1:20" x14ac:dyDescent="0.25">
      <c r="A477" t="s">
        <v>1280</v>
      </c>
      <c r="B477" t="s">
        <v>807</v>
      </c>
      <c r="C477" s="1">
        <v>45043</v>
      </c>
      <c r="D477" s="1">
        <f>IF(E477="",C477+VLOOKUP(B477,Lembar2!$B$19:$C$24,2,FALSE),'Procurement Dataset'!E477)</f>
        <v>45054</v>
      </c>
      <c r="F477" t="s">
        <v>791</v>
      </c>
      <c r="G477" t="s">
        <v>796</v>
      </c>
      <c r="H477" s="5">
        <v>240</v>
      </c>
      <c r="I477" s="3">
        <v>88.14</v>
      </c>
      <c r="J477" s="3">
        <v>81.900000000000006</v>
      </c>
      <c r="K477" s="5">
        <f t="shared" si="50"/>
        <v>4</v>
      </c>
      <c r="L477">
        <v>4</v>
      </c>
      <c r="M477" t="s">
        <v>793</v>
      </c>
      <c r="N477" t="str">
        <f t="shared" si="49"/>
        <v/>
      </c>
      <c r="O477" t="str">
        <f t="shared" si="51"/>
        <v>Valid</v>
      </c>
      <c r="P477" s="1" t="str">
        <f>IF(N477&gt;=(VLOOKUP(B477,Lembar2!$B$19:$C$24,2,FALSE)+7),"Delayed","Ontime")</f>
        <v>Delayed</v>
      </c>
      <c r="Q477" s="3">
        <f t="shared" si="52"/>
        <v>21153.599999999999</v>
      </c>
      <c r="R477" s="3">
        <f t="shared" si="53"/>
        <v>19656</v>
      </c>
      <c r="S477" s="3">
        <f t="shared" si="54"/>
        <v>1497.5999999999985</v>
      </c>
      <c r="T477">
        <f t="shared" si="55"/>
        <v>0</v>
      </c>
    </row>
    <row r="478" spans="1:20" x14ac:dyDescent="0.25">
      <c r="A478" t="s">
        <v>1281</v>
      </c>
      <c r="B478" t="s">
        <v>807</v>
      </c>
      <c r="C478" s="1">
        <v>44789</v>
      </c>
      <c r="D478" s="1">
        <f>IF(E478="",C478+VLOOKUP(B478,Lembar2!$B$19:$C$24,2,FALSE),'Procurement Dataset'!E478)</f>
        <v>44806</v>
      </c>
      <c r="E478" s="1">
        <v>44806</v>
      </c>
      <c r="F478" t="s">
        <v>799</v>
      </c>
      <c r="G478" t="s">
        <v>796</v>
      </c>
      <c r="H478" s="5">
        <v>302</v>
      </c>
      <c r="I478" s="3">
        <v>26.98</v>
      </c>
      <c r="J478" s="3">
        <v>26.47</v>
      </c>
      <c r="K478" s="5">
        <f t="shared" si="50"/>
        <v>9</v>
      </c>
      <c r="L478">
        <v>9</v>
      </c>
      <c r="M478" t="s">
        <v>793</v>
      </c>
      <c r="N478">
        <f t="shared" si="49"/>
        <v>17</v>
      </c>
      <c r="O478" t="str">
        <f t="shared" si="51"/>
        <v>Valid</v>
      </c>
      <c r="P478" s="1" t="str">
        <f>IF(N478&gt;=(VLOOKUP(B478,Lembar2!$B$19:$C$24,2,FALSE)+7),"Delayed","Ontime")</f>
        <v>Ontime</v>
      </c>
      <c r="Q478" s="3">
        <f t="shared" si="52"/>
        <v>8147.96</v>
      </c>
      <c r="R478" s="3">
        <f t="shared" si="53"/>
        <v>7993.94</v>
      </c>
      <c r="S478" s="3">
        <f t="shared" si="54"/>
        <v>154.02000000000044</v>
      </c>
      <c r="T478">
        <f t="shared" si="55"/>
        <v>1</v>
      </c>
    </row>
    <row r="479" spans="1:20" x14ac:dyDescent="0.25">
      <c r="A479" t="s">
        <v>1282</v>
      </c>
      <c r="B479" t="s">
        <v>801</v>
      </c>
      <c r="C479" s="1">
        <v>44766</v>
      </c>
      <c r="D479" s="1">
        <f>IF(E479="",C479+VLOOKUP(B479,Lembar2!$B$19:$C$24,2,FALSE),'Procurement Dataset'!E479)</f>
        <v>44776</v>
      </c>
      <c r="E479" s="1">
        <v>44776</v>
      </c>
      <c r="F479" t="s">
        <v>799</v>
      </c>
      <c r="G479" t="s">
        <v>813</v>
      </c>
      <c r="H479" s="5">
        <v>1030</v>
      </c>
      <c r="I479" s="3">
        <v>70.81</v>
      </c>
      <c r="J479" s="3">
        <v>61.58</v>
      </c>
      <c r="K479" s="5">
        <f t="shared" si="50"/>
        <v>0</v>
      </c>
      <c r="M479" t="s">
        <v>805</v>
      </c>
      <c r="N479">
        <f t="shared" si="49"/>
        <v>10</v>
      </c>
      <c r="O479" t="str">
        <f t="shared" si="51"/>
        <v>Valid</v>
      </c>
      <c r="P479" s="1" t="str">
        <f>IF(N479&gt;=(VLOOKUP(B479,Lembar2!$B$19:$C$24,2,FALSE)+7),"Delayed","Ontime")</f>
        <v>Ontime</v>
      </c>
      <c r="Q479" s="3">
        <f t="shared" si="52"/>
        <v>72934.3</v>
      </c>
      <c r="R479" s="3">
        <f t="shared" si="53"/>
        <v>63427.4</v>
      </c>
      <c r="S479" s="3">
        <f t="shared" si="54"/>
        <v>9506.9000000000015</v>
      </c>
      <c r="T479">
        <f t="shared" si="55"/>
        <v>1</v>
      </c>
    </row>
    <row r="480" spans="1:20" x14ac:dyDescent="0.25">
      <c r="A480" t="s">
        <v>1283</v>
      </c>
      <c r="B480" t="s">
        <v>795</v>
      </c>
      <c r="C480" s="1">
        <v>45033</v>
      </c>
      <c r="D480" s="1">
        <f>IF(E480="",C480+VLOOKUP(B480,Lembar2!$B$19:$C$24,2,FALSE),'Procurement Dataset'!E480)</f>
        <v>45039</v>
      </c>
      <c r="E480" s="1">
        <v>45039</v>
      </c>
      <c r="F480" t="s">
        <v>791</v>
      </c>
      <c r="G480" t="s">
        <v>796</v>
      </c>
      <c r="H480" s="5">
        <v>977</v>
      </c>
      <c r="I480" s="3">
        <v>33.79</v>
      </c>
      <c r="J480" s="3">
        <v>32.25</v>
      </c>
      <c r="K480" s="5">
        <f t="shared" si="50"/>
        <v>137</v>
      </c>
      <c r="L480">
        <v>137</v>
      </c>
      <c r="M480" t="s">
        <v>793</v>
      </c>
      <c r="N480">
        <f t="shared" si="49"/>
        <v>6</v>
      </c>
      <c r="O480" t="str">
        <f t="shared" si="51"/>
        <v>Valid</v>
      </c>
      <c r="P480" s="1" t="str">
        <f>IF(N480&gt;=(VLOOKUP(B480,Lembar2!$B$19:$C$24,2,FALSE)+7),"Delayed","Ontime")</f>
        <v>Ontime</v>
      </c>
      <c r="Q480" s="3">
        <f t="shared" si="52"/>
        <v>33012.83</v>
      </c>
      <c r="R480" s="3">
        <f t="shared" si="53"/>
        <v>31508.25</v>
      </c>
      <c r="S480" s="3">
        <f t="shared" si="54"/>
        <v>1504.5800000000017</v>
      </c>
      <c r="T480">
        <f t="shared" si="55"/>
        <v>1</v>
      </c>
    </row>
    <row r="481" spans="1:20" x14ac:dyDescent="0.25">
      <c r="A481" t="s">
        <v>1284</v>
      </c>
      <c r="B481" t="s">
        <v>790</v>
      </c>
      <c r="C481" s="1">
        <v>44920</v>
      </c>
      <c r="D481" s="1">
        <f>IF(E481="",C481+VLOOKUP(B481,Lembar2!$B$19:$C$24,2,FALSE),'Procurement Dataset'!E481)</f>
        <v>44937</v>
      </c>
      <c r="E481" s="1">
        <v>44937</v>
      </c>
      <c r="F481" t="s">
        <v>802</v>
      </c>
      <c r="G481" t="s">
        <v>796</v>
      </c>
      <c r="H481" s="5">
        <v>1234</v>
      </c>
      <c r="I481" s="3">
        <v>19.989999999999998</v>
      </c>
      <c r="J481" s="3">
        <v>17.66</v>
      </c>
      <c r="K481" s="5">
        <f t="shared" si="50"/>
        <v>25</v>
      </c>
      <c r="L481">
        <v>25</v>
      </c>
      <c r="M481" t="s">
        <v>793</v>
      </c>
      <c r="N481">
        <f t="shared" si="49"/>
        <v>17</v>
      </c>
      <c r="O481" t="str">
        <f t="shared" si="51"/>
        <v>Valid</v>
      </c>
      <c r="P481" s="1" t="str">
        <f>IF(N481&gt;=(VLOOKUP(B481,Lembar2!$B$19:$C$24,2,FALSE)+7),"Delayed","Ontime")</f>
        <v>Ontime</v>
      </c>
      <c r="Q481" s="3">
        <f t="shared" si="52"/>
        <v>24667.66</v>
      </c>
      <c r="R481" s="3">
        <f t="shared" si="53"/>
        <v>21792.44</v>
      </c>
      <c r="S481" s="3">
        <f t="shared" si="54"/>
        <v>2875.2200000000012</v>
      </c>
      <c r="T481">
        <f t="shared" si="55"/>
        <v>1</v>
      </c>
    </row>
    <row r="482" spans="1:20" x14ac:dyDescent="0.25">
      <c r="A482" t="s">
        <v>1285</v>
      </c>
      <c r="B482" t="s">
        <v>801</v>
      </c>
      <c r="C482" s="1">
        <v>44874</v>
      </c>
      <c r="D482" s="1">
        <f>IF(E482="",C482+VLOOKUP(B482,Lembar2!$B$19:$C$24,2,FALSE),'Procurement Dataset'!E482)</f>
        <v>44888</v>
      </c>
      <c r="E482" s="1">
        <v>44888</v>
      </c>
      <c r="F482" t="s">
        <v>791</v>
      </c>
      <c r="G482" t="s">
        <v>796</v>
      </c>
      <c r="H482" s="5">
        <v>1329</v>
      </c>
      <c r="I482" s="3">
        <v>33.479999999999997</v>
      </c>
      <c r="J482" s="3">
        <v>33.06</v>
      </c>
      <c r="K482" s="5">
        <f t="shared" si="50"/>
        <v>146</v>
      </c>
      <c r="L482">
        <v>146</v>
      </c>
      <c r="M482" t="s">
        <v>793</v>
      </c>
      <c r="N482">
        <f t="shared" si="49"/>
        <v>14</v>
      </c>
      <c r="O482" t="str">
        <f t="shared" si="51"/>
        <v>Valid</v>
      </c>
      <c r="P482" s="1" t="str">
        <f>IF(N482&gt;=(VLOOKUP(B482,Lembar2!$B$19:$C$24,2,FALSE)+7),"Delayed","Ontime")</f>
        <v>Ontime</v>
      </c>
      <c r="Q482" s="3">
        <f t="shared" si="52"/>
        <v>44494.92</v>
      </c>
      <c r="R482" s="3">
        <f t="shared" si="53"/>
        <v>43936.740000000005</v>
      </c>
      <c r="S482" s="3">
        <f t="shared" si="54"/>
        <v>558.17999999999302</v>
      </c>
      <c r="T482">
        <f t="shared" si="55"/>
        <v>1</v>
      </c>
    </row>
    <row r="483" spans="1:20" x14ac:dyDescent="0.25">
      <c r="A483" t="s">
        <v>1286</v>
      </c>
      <c r="B483" t="s">
        <v>798</v>
      </c>
      <c r="C483" s="1">
        <v>44795</v>
      </c>
      <c r="D483" s="1">
        <f>IF(E483="",C483+VLOOKUP(B483,Lembar2!$B$19:$C$24,2,FALSE),'Procurement Dataset'!E483)</f>
        <v>44803</v>
      </c>
      <c r="E483" s="1">
        <v>44803</v>
      </c>
      <c r="F483" t="s">
        <v>804</v>
      </c>
      <c r="G483" t="s">
        <v>796</v>
      </c>
      <c r="H483" s="5">
        <v>1396</v>
      </c>
      <c r="I483" s="3">
        <v>77.63</v>
      </c>
      <c r="J483" s="3">
        <v>67.81</v>
      </c>
      <c r="K483" s="5">
        <f t="shared" si="50"/>
        <v>58</v>
      </c>
      <c r="L483">
        <v>58</v>
      </c>
      <c r="M483" t="s">
        <v>793</v>
      </c>
      <c r="N483">
        <f t="shared" si="49"/>
        <v>8</v>
      </c>
      <c r="O483" t="str">
        <f t="shared" si="51"/>
        <v>Valid</v>
      </c>
      <c r="P483" s="1" t="str">
        <f>IF(N483&gt;=(VLOOKUP(B483,Lembar2!$B$19:$C$24,2,FALSE)+7),"Delayed","Ontime")</f>
        <v>Ontime</v>
      </c>
      <c r="Q483" s="3">
        <f t="shared" si="52"/>
        <v>108371.48</v>
      </c>
      <c r="R483" s="3">
        <f t="shared" si="53"/>
        <v>94662.760000000009</v>
      </c>
      <c r="S483" s="3">
        <f t="shared" si="54"/>
        <v>13708.719999999987</v>
      </c>
      <c r="T483">
        <f t="shared" si="55"/>
        <v>1</v>
      </c>
    </row>
    <row r="484" spans="1:20" x14ac:dyDescent="0.25">
      <c r="A484" t="s">
        <v>1287</v>
      </c>
      <c r="B484" t="s">
        <v>790</v>
      </c>
      <c r="C484" s="1">
        <v>44790</v>
      </c>
      <c r="D484" s="1">
        <f>IF(E484="",C484+VLOOKUP(B484,Lembar2!$B$19:$C$24,2,FALSE),'Procurement Dataset'!E484)</f>
        <v>44802</v>
      </c>
      <c r="E484" s="1">
        <v>44802</v>
      </c>
      <c r="F484" t="s">
        <v>804</v>
      </c>
      <c r="G484" t="s">
        <v>796</v>
      </c>
      <c r="H484" s="5">
        <v>177</v>
      </c>
      <c r="I484" s="3">
        <v>90.06</v>
      </c>
      <c r="J484" s="3">
        <v>87.71</v>
      </c>
      <c r="K484" s="5">
        <f t="shared" si="50"/>
        <v>7</v>
      </c>
      <c r="L484">
        <v>7</v>
      </c>
      <c r="M484" t="s">
        <v>793</v>
      </c>
      <c r="N484">
        <f t="shared" si="49"/>
        <v>12</v>
      </c>
      <c r="O484" t="str">
        <f t="shared" si="51"/>
        <v>Valid</v>
      </c>
      <c r="P484" s="1" t="str">
        <f>IF(N484&gt;=(VLOOKUP(B484,Lembar2!$B$19:$C$24,2,FALSE)+7),"Delayed","Ontime")</f>
        <v>Ontime</v>
      </c>
      <c r="Q484" s="3">
        <f t="shared" si="52"/>
        <v>15940.62</v>
      </c>
      <c r="R484" s="3">
        <f t="shared" si="53"/>
        <v>15524.669999999998</v>
      </c>
      <c r="S484" s="3">
        <f t="shared" si="54"/>
        <v>415.95000000000255</v>
      </c>
      <c r="T484">
        <f t="shared" si="55"/>
        <v>1</v>
      </c>
    </row>
    <row r="485" spans="1:20" x14ac:dyDescent="0.25">
      <c r="A485" t="s">
        <v>1288</v>
      </c>
      <c r="B485" t="s">
        <v>795</v>
      </c>
      <c r="C485" s="1">
        <v>44586</v>
      </c>
      <c r="D485" s="1">
        <f>IF(E485="",C485+VLOOKUP(B485,Lembar2!$B$19:$C$24,2,FALSE),'Procurement Dataset'!E485)</f>
        <v>44597</v>
      </c>
      <c r="F485" t="s">
        <v>817</v>
      </c>
      <c r="G485" t="s">
        <v>796</v>
      </c>
      <c r="H485" s="5">
        <v>67</v>
      </c>
      <c r="I485" s="3">
        <v>84.72</v>
      </c>
      <c r="J485" s="3">
        <v>73.06</v>
      </c>
      <c r="K485" s="5">
        <f t="shared" si="50"/>
        <v>9</v>
      </c>
      <c r="L485">
        <v>9</v>
      </c>
      <c r="M485" t="s">
        <v>793</v>
      </c>
      <c r="N485" t="str">
        <f t="shared" si="49"/>
        <v/>
      </c>
      <c r="O485" t="str">
        <f t="shared" si="51"/>
        <v>Valid</v>
      </c>
      <c r="P485" s="1" t="str">
        <f>IF(N485&gt;=(VLOOKUP(B485,Lembar2!$B$19:$C$24,2,FALSE)+7),"Delayed","Ontime")</f>
        <v>Delayed</v>
      </c>
      <c r="Q485" s="3">
        <f t="shared" si="52"/>
        <v>5676.24</v>
      </c>
      <c r="R485" s="3">
        <f t="shared" si="53"/>
        <v>4895.0200000000004</v>
      </c>
      <c r="S485" s="3">
        <f t="shared" si="54"/>
        <v>781.21999999999935</v>
      </c>
      <c r="T485">
        <f t="shared" si="55"/>
        <v>0</v>
      </c>
    </row>
    <row r="486" spans="1:20" x14ac:dyDescent="0.25">
      <c r="A486" t="s">
        <v>1289</v>
      </c>
      <c r="B486" t="s">
        <v>798</v>
      </c>
      <c r="C486" s="1">
        <v>45237</v>
      </c>
      <c r="D486" s="1">
        <f>IF(E486="",C486+VLOOKUP(B486,Lembar2!$B$19:$C$24,2,FALSE),'Procurement Dataset'!E486)</f>
        <v>45250</v>
      </c>
      <c r="E486" s="1">
        <v>45250</v>
      </c>
      <c r="F486" t="s">
        <v>791</v>
      </c>
      <c r="G486" t="s">
        <v>796</v>
      </c>
      <c r="H486" s="5">
        <v>1866</v>
      </c>
      <c r="I486" s="3">
        <v>50.78</v>
      </c>
      <c r="J486" s="3">
        <v>48.2</v>
      </c>
      <c r="K486" s="5">
        <f t="shared" si="50"/>
        <v>96</v>
      </c>
      <c r="L486">
        <v>96</v>
      </c>
      <c r="M486" t="s">
        <v>793</v>
      </c>
      <c r="N486">
        <f t="shared" si="49"/>
        <v>13</v>
      </c>
      <c r="O486" t="str">
        <f t="shared" si="51"/>
        <v>Valid</v>
      </c>
      <c r="P486" s="1" t="str">
        <f>IF(N486&gt;=(VLOOKUP(B486,Lembar2!$B$19:$C$24,2,FALSE)+7),"Delayed","Ontime")</f>
        <v>Ontime</v>
      </c>
      <c r="Q486" s="3">
        <f t="shared" si="52"/>
        <v>94755.48</v>
      </c>
      <c r="R486" s="3">
        <f t="shared" si="53"/>
        <v>89941.200000000012</v>
      </c>
      <c r="S486" s="3">
        <f t="shared" si="54"/>
        <v>4814.2799999999843</v>
      </c>
      <c r="T486">
        <f t="shared" si="55"/>
        <v>1</v>
      </c>
    </row>
    <row r="487" spans="1:20" x14ac:dyDescent="0.25">
      <c r="A487" t="s">
        <v>1290</v>
      </c>
      <c r="B487" t="s">
        <v>807</v>
      </c>
      <c r="C487" s="1">
        <v>44759</v>
      </c>
      <c r="D487" s="1">
        <f>IF(E487="",C487+VLOOKUP(B487,Lembar2!$B$19:$C$24,2,FALSE),'Procurement Dataset'!E487)</f>
        <v>44767</v>
      </c>
      <c r="E487" s="1">
        <v>44767</v>
      </c>
      <c r="F487" t="s">
        <v>799</v>
      </c>
      <c r="G487" t="s">
        <v>796</v>
      </c>
      <c r="H487" s="5">
        <v>1808</v>
      </c>
      <c r="I487" s="3">
        <v>72.23</v>
      </c>
      <c r="J487" s="3">
        <v>67.86</v>
      </c>
      <c r="K487" s="5">
        <f t="shared" si="50"/>
        <v>53</v>
      </c>
      <c r="L487">
        <v>53</v>
      </c>
      <c r="M487" t="s">
        <v>793</v>
      </c>
      <c r="N487">
        <f t="shared" si="49"/>
        <v>8</v>
      </c>
      <c r="O487" t="str">
        <f t="shared" si="51"/>
        <v>Valid</v>
      </c>
      <c r="P487" s="1" t="str">
        <f>IF(N487&gt;=(VLOOKUP(B487,Lembar2!$B$19:$C$24,2,FALSE)+7),"Delayed","Ontime")</f>
        <v>Ontime</v>
      </c>
      <c r="Q487" s="3">
        <f t="shared" si="52"/>
        <v>130591.84000000001</v>
      </c>
      <c r="R487" s="3">
        <f t="shared" si="53"/>
        <v>122690.88</v>
      </c>
      <c r="S487" s="3">
        <f t="shared" si="54"/>
        <v>7900.9600000000064</v>
      </c>
      <c r="T487">
        <f t="shared" si="55"/>
        <v>1</v>
      </c>
    </row>
    <row r="488" spans="1:20" x14ac:dyDescent="0.25">
      <c r="A488" t="s">
        <v>1291</v>
      </c>
      <c r="B488" t="s">
        <v>795</v>
      </c>
      <c r="C488" s="1">
        <v>44970</v>
      </c>
      <c r="D488" s="1">
        <f>IF(E488="",C488+VLOOKUP(B488,Lembar2!$B$19:$C$24,2,FALSE),'Procurement Dataset'!E488)</f>
        <v>44973</v>
      </c>
      <c r="E488" s="1">
        <v>44973</v>
      </c>
      <c r="F488" t="s">
        <v>817</v>
      </c>
      <c r="G488" t="s">
        <v>792</v>
      </c>
      <c r="H488" s="5">
        <v>615</v>
      </c>
      <c r="I488" s="3">
        <v>30.3</v>
      </c>
      <c r="J488" s="3">
        <v>29.52</v>
      </c>
      <c r="K488" s="5">
        <f t="shared" si="50"/>
        <v>96</v>
      </c>
      <c r="L488">
        <v>96</v>
      </c>
      <c r="M488" t="s">
        <v>793</v>
      </c>
      <c r="N488">
        <f t="shared" si="49"/>
        <v>3</v>
      </c>
      <c r="O488" t="str">
        <f t="shared" si="51"/>
        <v>Valid</v>
      </c>
      <c r="P488" s="1" t="str">
        <f>IF(N488&gt;=(VLOOKUP(B488,Lembar2!$B$19:$C$24,2,FALSE)+7),"Delayed","Ontime")</f>
        <v>Ontime</v>
      </c>
      <c r="Q488" s="3">
        <f t="shared" si="52"/>
        <v>18634.5</v>
      </c>
      <c r="R488" s="3">
        <f t="shared" si="53"/>
        <v>18154.8</v>
      </c>
      <c r="S488" s="3">
        <f t="shared" si="54"/>
        <v>479.70000000000073</v>
      </c>
      <c r="T488">
        <f t="shared" si="55"/>
        <v>1</v>
      </c>
    </row>
    <row r="489" spans="1:20" x14ac:dyDescent="0.25">
      <c r="A489" t="s">
        <v>1292</v>
      </c>
      <c r="B489" t="s">
        <v>798</v>
      </c>
      <c r="C489" s="1">
        <v>44898</v>
      </c>
      <c r="D489" s="1">
        <f>IF(E489="",C489+VLOOKUP(B489,Lembar2!$B$19:$C$24,2,FALSE),'Procurement Dataset'!E489)</f>
        <v>44899</v>
      </c>
      <c r="E489" s="1">
        <v>44899</v>
      </c>
      <c r="F489" t="s">
        <v>791</v>
      </c>
      <c r="G489" t="s">
        <v>813</v>
      </c>
      <c r="H489" s="5">
        <v>619</v>
      </c>
      <c r="I489" s="3">
        <v>38.380000000000003</v>
      </c>
      <c r="J489" s="3">
        <v>35.020000000000003</v>
      </c>
      <c r="K489" s="5">
        <f t="shared" si="50"/>
        <v>34</v>
      </c>
      <c r="L489">
        <v>34</v>
      </c>
      <c r="M489" t="s">
        <v>793</v>
      </c>
      <c r="N489">
        <f t="shared" si="49"/>
        <v>1</v>
      </c>
      <c r="O489" t="str">
        <f t="shared" si="51"/>
        <v>Valid</v>
      </c>
      <c r="P489" s="1" t="str">
        <f>IF(N489&gt;=(VLOOKUP(B489,Lembar2!$B$19:$C$24,2,FALSE)+7),"Delayed","Ontime")</f>
        <v>Ontime</v>
      </c>
      <c r="Q489" s="3">
        <f t="shared" si="52"/>
        <v>23757.22</v>
      </c>
      <c r="R489" s="3">
        <f t="shared" si="53"/>
        <v>21677.38</v>
      </c>
      <c r="S489" s="3">
        <f t="shared" si="54"/>
        <v>2079.84</v>
      </c>
      <c r="T489">
        <f t="shared" si="55"/>
        <v>1</v>
      </c>
    </row>
    <row r="490" spans="1:20" x14ac:dyDescent="0.25">
      <c r="A490" t="s">
        <v>1293</v>
      </c>
      <c r="B490" t="s">
        <v>795</v>
      </c>
      <c r="C490" s="1">
        <v>44847</v>
      </c>
      <c r="D490" s="1">
        <f>IF(E490="",C490+VLOOKUP(B490,Lembar2!$B$19:$C$24,2,FALSE),'Procurement Dataset'!E490)</f>
        <v>44851</v>
      </c>
      <c r="E490" s="1">
        <v>44851</v>
      </c>
      <c r="F490" t="s">
        <v>791</v>
      </c>
      <c r="G490" t="s">
        <v>796</v>
      </c>
      <c r="H490" s="5">
        <v>1396</v>
      </c>
      <c r="I490" s="3">
        <v>94.75</v>
      </c>
      <c r="J490" s="3">
        <v>84.06</v>
      </c>
      <c r="K490" s="5">
        <f t="shared" si="50"/>
        <v>210</v>
      </c>
      <c r="L490">
        <v>210</v>
      </c>
      <c r="M490" t="s">
        <v>793</v>
      </c>
      <c r="N490">
        <f t="shared" si="49"/>
        <v>4</v>
      </c>
      <c r="O490" t="str">
        <f t="shared" si="51"/>
        <v>Valid</v>
      </c>
      <c r="P490" s="1" t="str">
        <f>IF(N490&gt;=(VLOOKUP(B490,Lembar2!$B$19:$C$24,2,FALSE)+7),"Delayed","Ontime")</f>
        <v>Ontime</v>
      </c>
      <c r="Q490" s="3">
        <f t="shared" si="52"/>
        <v>132271</v>
      </c>
      <c r="R490" s="3">
        <f t="shared" si="53"/>
        <v>117347.76000000001</v>
      </c>
      <c r="S490" s="3">
        <f t="shared" si="54"/>
        <v>14923.239999999991</v>
      </c>
      <c r="T490">
        <f t="shared" si="55"/>
        <v>1</v>
      </c>
    </row>
    <row r="491" spans="1:20" x14ac:dyDescent="0.25">
      <c r="A491" t="s">
        <v>1294</v>
      </c>
      <c r="B491" t="s">
        <v>798</v>
      </c>
      <c r="C491" s="1">
        <v>44633</v>
      </c>
      <c r="D491" s="1">
        <f>IF(E491="",C491+VLOOKUP(B491,Lembar2!$B$19:$C$24,2,FALSE),'Procurement Dataset'!E491)</f>
        <v>44644</v>
      </c>
      <c r="E491" s="1">
        <v>44644</v>
      </c>
      <c r="F491" t="s">
        <v>799</v>
      </c>
      <c r="G491" t="s">
        <v>796</v>
      </c>
      <c r="H491" s="5">
        <v>1945</v>
      </c>
      <c r="I491" s="3">
        <v>11.28</v>
      </c>
      <c r="J491" s="3">
        <v>9.98</v>
      </c>
      <c r="K491" s="5">
        <f t="shared" si="50"/>
        <v>94</v>
      </c>
      <c r="L491">
        <v>94</v>
      </c>
      <c r="M491" t="s">
        <v>793</v>
      </c>
      <c r="N491">
        <f t="shared" si="49"/>
        <v>11</v>
      </c>
      <c r="O491" t="str">
        <f t="shared" si="51"/>
        <v>Valid</v>
      </c>
      <c r="P491" s="1" t="str">
        <f>IF(N491&gt;=(VLOOKUP(B491,Lembar2!$B$19:$C$24,2,FALSE)+7),"Delayed","Ontime")</f>
        <v>Ontime</v>
      </c>
      <c r="Q491" s="3">
        <f t="shared" si="52"/>
        <v>21939.599999999999</v>
      </c>
      <c r="R491" s="3">
        <f t="shared" si="53"/>
        <v>19411.100000000002</v>
      </c>
      <c r="S491" s="3">
        <f t="shared" si="54"/>
        <v>2528.4999999999964</v>
      </c>
      <c r="T491">
        <f t="shared" si="55"/>
        <v>1</v>
      </c>
    </row>
    <row r="492" spans="1:20" x14ac:dyDescent="0.25">
      <c r="A492" t="s">
        <v>1295</v>
      </c>
      <c r="B492" t="s">
        <v>795</v>
      </c>
      <c r="C492" s="1">
        <v>44847</v>
      </c>
      <c r="D492" s="1">
        <f>IF(E492="",C492+VLOOKUP(B492,Lembar2!$B$19:$C$24,2,FALSE),'Procurement Dataset'!E492)</f>
        <v>44852</v>
      </c>
      <c r="E492" s="1">
        <v>44852</v>
      </c>
      <c r="F492" t="s">
        <v>802</v>
      </c>
      <c r="G492" t="s">
        <v>796</v>
      </c>
      <c r="H492" s="5">
        <v>735</v>
      </c>
      <c r="I492" s="3">
        <v>18.489999999999998</v>
      </c>
      <c r="J492" s="3">
        <v>15.89</v>
      </c>
      <c r="K492" s="5">
        <f t="shared" si="50"/>
        <v>113</v>
      </c>
      <c r="L492">
        <v>113</v>
      </c>
      <c r="M492" t="s">
        <v>805</v>
      </c>
      <c r="N492">
        <f t="shared" si="49"/>
        <v>5</v>
      </c>
      <c r="O492" t="str">
        <f t="shared" si="51"/>
        <v>Valid</v>
      </c>
      <c r="P492" s="1" t="str">
        <f>IF(N492&gt;=(VLOOKUP(B492,Lembar2!$B$19:$C$24,2,FALSE)+7),"Delayed","Ontime")</f>
        <v>Ontime</v>
      </c>
      <c r="Q492" s="3">
        <f t="shared" si="52"/>
        <v>13590.15</v>
      </c>
      <c r="R492" s="3">
        <f t="shared" si="53"/>
        <v>11679.15</v>
      </c>
      <c r="S492" s="3">
        <f t="shared" si="54"/>
        <v>1911</v>
      </c>
      <c r="T492">
        <f t="shared" si="55"/>
        <v>1</v>
      </c>
    </row>
    <row r="493" spans="1:20" x14ac:dyDescent="0.25">
      <c r="A493" t="s">
        <v>1296</v>
      </c>
      <c r="B493" t="s">
        <v>807</v>
      </c>
      <c r="C493" s="1">
        <v>44921</v>
      </c>
      <c r="D493" s="1">
        <f>IF(E493="",C493+VLOOKUP(B493,Lembar2!$B$19:$C$24,2,FALSE),'Procurement Dataset'!E493)</f>
        <v>44937</v>
      </c>
      <c r="E493" s="1">
        <v>44937</v>
      </c>
      <c r="F493" t="s">
        <v>791</v>
      </c>
      <c r="G493" t="s">
        <v>813</v>
      </c>
      <c r="H493" s="5">
        <v>1865</v>
      </c>
      <c r="I493" s="3">
        <v>30.29</v>
      </c>
      <c r="J493" s="3">
        <v>26.83</v>
      </c>
      <c r="K493" s="5">
        <f t="shared" si="50"/>
        <v>56</v>
      </c>
      <c r="L493">
        <v>56</v>
      </c>
      <c r="M493" t="s">
        <v>793</v>
      </c>
      <c r="N493">
        <f t="shared" si="49"/>
        <v>16</v>
      </c>
      <c r="O493" t="str">
        <f t="shared" si="51"/>
        <v>Valid</v>
      </c>
      <c r="P493" s="1" t="str">
        <f>IF(N493&gt;=(VLOOKUP(B493,Lembar2!$B$19:$C$24,2,FALSE)+7),"Delayed","Ontime")</f>
        <v>Ontime</v>
      </c>
      <c r="Q493" s="3">
        <f t="shared" si="52"/>
        <v>56490.85</v>
      </c>
      <c r="R493" s="3">
        <f t="shared" si="53"/>
        <v>50037.95</v>
      </c>
      <c r="S493" s="3">
        <f t="shared" si="54"/>
        <v>6452.9000000000015</v>
      </c>
      <c r="T493">
        <f t="shared" si="55"/>
        <v>1</v>
      </c>
    </row>
    <row r="494" spans="1:20" x14ac:dyDescent="0.25">
      <c r="A494" t="s">
        <v>1297</v>
      </c>
      <c r="B494" t="s">
        <v>801</v>
      </c>
      <c r="C494" s="1">
        <v>45218</v>
      </c>
      <c r="D494" s="1">
        <f>IF(E494="",C494+VLOOKUP(B494,Lembar2!$B$19:$C$24,2,FALSE),'Procurement Dataset'!E494)</f>
        <v>45223</v>
      </c>
      <c r="E494" s="1">
        <v>45223</v>
      </c>
      <c r="F494" t="s">
        <v>817</v>
      </c>
      <c r="G494" t="s">
        <v>792</v>
      </c>
      <c r="H494" s="5">
        <v>675</v>
      </c>
      <c r="I494" s="3">
        <v>13.69</v>
      </c>
      <c r="J494" s="3">
        <v>11.84</v>
      </c>
      <c r="K494" s="5">
        <f t="shared" si="50"/>
        <v>52</v>
      </c>
      <c r="L494">
        <v>52</v>
      </c>
      <c r="M494" t="s">
        <v>793</v>
      </c>
      <c r="N494">
        <f t="shared" si="49"/>
        <v>5</v>
      </c>
      <c r="O494" t="str">
        <f t="shared" si="51"/>
        <v>Valid</v>
      </c>
      <c r="P494" s="1" t="str">
        <f>IF(N494&gt;=(VLOOKUP(B494,Lembar2!$B$19:$C$24,2,FALSE)+7),"Delayed","Ontime")</f>
        <v>Ontime</v>
      </c>
      <c r="Q494" s="3">
        <f t="shared" si="52"/>
        <v>9240.75</v>
      </c>
      <c r="R494" s="3">
        <f t="shared" si="53"/>
        <v>7992</v>
      </c>
      <c r="S494" s="3">
        <f t="shared" si="54"/>
        <v>1248.75</v>
      </c>
      <c r="T494">
        <f t="shared" si="55"/>
        <v>1</v>
      </c>
    </row>
    <row r="495" spans="1:20" x14ac:dyDescent="0.25">
      <c r="A495" t="s">
        <v>1298</v>
      </c>
      <c r="B495" t="s">
        <v>798</v>
      </c>
      <c r="C495" s="1">
        <v>45083</v>
      </c>
      <c r="D495" s="1">
        <f>IF(E495="",C495+VLOOKUP(B495,Lembar2!$B$19:$C$24,2,FALSE),'Procurement Dataset'!E495)</f>
        <v>45099</v>
      </c>
      <c r="E495" s="1">
        <v>45099</v>
      </c>
      <c r="F495" t="s">
        <v>799</v>
      </c>
      <c r="G495" t="s">
        <v>813</v>
      </c>
      <c r="H495" s="5">
        <v>1361</v>
      </c>
      <c r="I495" s="3">
        <v>28.57</v>
      </c>
      <c r="J495" s="3">
        <v>24.29</v>
      </c>
      <c r="K495" s="5">
        <f t="shared" si="50"/>
        <v>65</v>
      </c>
      <c r="L495">
        <v>65</v>
      </c>
      <c r="M495" t="s">
        <v>793</v>
      </c>
      <c r="N495">
        <f t="shared" si="49"/>
        <v>16</v>
      </c>
      <c r="O495" t="str">
        <f t="shared" si="51"/>
        <v>Valid</v>
      </c>
      <c r="P495" s="1" t="str">
        <f>IF(N495&gt;=(VLOOKUP(B495,Lembar2!$B$19:$C$24,2,FALSE)+7),"Delayed","Ontime")</f>
        <v>Ontime</v>
      </c>
      <c r="Q495" s="3">
        <f t="shared" si="52"/>
        <v>38883.769999999997</v>
      </c>
      <c r="R495" s="3">
        <f t="shared" si="53"/>
        <v>33058.69</v>
      </c>
      <c r="S495" s="3">
        <f t="shared" si="54"/>
        <v>5825.0799999999945</v>
      </c>
      <c r="T495">
        <f t="shared" si="55"/>
        <v>1</v>
      </c>
    </row>
    <row r="496" spans="1:20" x14ac:dyDescent="0.25">
      <c r="A496" t="s">
        <v>1299</v>
      </c>
      <c r="B496" t="s">
        <v>798</v>
      </c>
      <c r="C496" s="1">
        <v>44971</v>
      </c>
      <c r="D496" s="1">
        <f>IF(E496="",C496+VLOOKUP(B496,Lembar2!$B$19:$C$24,2,FALSE),'Procurement Dataset'!E496)</f>
        <v>44972</v>
      </c>
      <c r="E496" s="1">
        <v>44972</v>
      </c>
      <c r="F496" t="s">
        <v>804</v>
      </c>
      <c r="G496" t="s">
        <v>796</v>
      </c>
      <c r="H496" s="5">
        <v>903</v>
      </c>
      <c r="I496" s="3">
        <v>66.53</v>
      </c>
      <c r="J496" s="3">
        <v>60.15</v>
      </c>
      <c r="K496" s="5">
        <f t="shared" si="50"/>
        <v>29</v>
      </c>
      <c r="L496">
        <v>29</v>
      </c>
      <c r="M496" t="s">
        <v>793</v>
      </c>
      <c r="N496">
        <f t="shared" si="49"/>
        <v>1</v>
      </c>
      <c r="O496" t="str">
        <f t="shared" si="51"/>
        <v>Valid</v>
      </c>
      <c r="P496" s="1" t="str">
        <f>IF(N496&gt;=(VLOOKUP(B496,Lembar2!$B$19:$C$24,2,FALSE)+7),"Delayed","Ontime")</f>
        <v>Ontime</v>
      </c>
      <c r="Q496" s="3">
        <f t="shared" si="52"/>
        <v>60076.590000000004</v>
      </c>
      <c r="R496" s="3">
        <f t="shared" si="53"/>
        <v>54315.45</v>
      </c>
      <c r="S496" s="3">
        <f t="shared" si="54"/>
        <v>5761.1400000000067</v>
      </c>
      <c r="T496">
        <f t="shared" si="55"/>
        <v>1</v>
      </c>
    </row>
    <row r="497" spans="1:20" x14ac:dyDescent="0.25">
      <c r="A497" t="s">
        <v>1300</v>
      </c>
      <c r="B497" t="s">
        <v>807</v>
      </c>
      <c r="C497" s="1">
        <v>45257</v>
      </c>
      <c r="D497" s="1">
        <f>IF(E497="",C497+VLOOKUP(B497,Lembar2!$B$19:$C$24,2,FALSE),'Procurement Dataset'!E497)</f>
        <v>45268</v>
      </c>
      <c r="F497" t="s">
        <v>802</v>
      </c>
      <c r="G497" t="s">
        <v>792</v>
      </c>
      <c r="H497" s="5">
        <v>1736</v>
      </c>
      <c r="I497" s="3">
        <v>53.2</v>
      </c>
      <c r="J497" s="3">
        <v>50.68</v>
      </c>
      <c r="K497" s="5">
        <f t="shared" si="50"/>
        <v>48</v>
      </c>
      <c r="L497">
        <v>48</v>
      </c>
      <c r="M497" t="s">
        <v>793</v>
      </c>
      <c r="N497" t="str">
        <f t="shared" si="49"/>
        <v/>
      </c>
      <c r="O497" t="str">
        <f t="shared" si="51"/>
        <v>Valid</v>
      </c>
      <c r="P497" s="1" t="str">
        <f>IF(N497&gt;=(VLOOKUP(B497,Lembar2!$B$19:$C$24,2,FALSE)+7),"Delayed","Ontime")</f>
        <v>Delayed</v>
      </c>
      <c r="Q497" s="3">
        <f t="shared" si="52"/>
        <v>92355.200000000012</v>
      </c>
      <c r="R497" s="3">
        <f t="shared" si="53"/>
        <v>87980.479999999996</v>
      </c>
      <c r="S497" s="3">
        <f t="shared" si="54"/>
        <v>4374.7200000000157</v>
      </c>
      <c r="T497">
        <f t="shared" si="55"/>
        <v>0</v>
      </c>
    </row>
    <row r="498" spans="1:20" x14ac:dyDescent="0.25">
      <c r="A498" t="s">
        <v>1301</v>
      </c>
      <c r="B498" t="s">
        <v>801</v>
      </c>
      <c r="C498" s="1">
        <v>45111</v>
      </c>
      <c r="D498" s="1">
        <f>IF(E498="",C498+VLOOKUP(B498,Lembar2!$B$19:$C$24,2,FALSE),'Procurement Dataset'!E498)</f>
        <v>45118</v>
      </c>
      <c r="E498" s="1">
        <v>45118</v>
      </c>
      <c r="F498" t="s">
        <v>799</v>
      </c>
      <c r="G498" t="s">
        <v>796</v>
      </c>
      <c r="H498" s="5">
        <v>1011</v>
      </c>
      <c r="I498" s="3">
        <v>98.47</v>
      </c>
      <c r="J498" s="3">
        <v>97.06</v>
      </c>
      <c r="K498" s="5">
        <f t="shared" si="50"/>
        <v>91</v>
      </c>
      <c r="L498">
        <v>91</v>
      </c>
      <c r="M498" t="s">
        <v>793</v>
      </c>
      <c r="N498">
        <f t="shared" si="49"/>
        <v>7</v>
      </c>
      <c r="O498" t="str">
        <f t="shared" si="51"/>
        <v>Valid</v>
      </c>
      <c r="P498" s="1" t="str">
        <f>IF(N498&gt;=(VLOOKUP(B498,Lembar2!$B$19:$C$24,2,FALSE)+7),"Delayed","Ontime")</f>
        <v>Ontime</v>
      </c>
      <c r="Q498" s="3">
        <f t="shared" si="52"/>
        <v>99553.17</v>
      </c>
      <c r="R498" s="3">
        <f t="shared" si="53"/>
        <v>98127.66</v>
      </c>
      <c r="S498" s="3">
        <f t="shared" si="54"/>
        <v>1425.5099999999948</v>
      </c>
      <c r="T498">
        <f t="shared" si="55"/>
        <v>1</v>
      </c>
    </row>
    <row r="499" spans="1:20" x14ac:dyDescent="0.25">
      <c r="A499" t="s">
        <v>1302</v>
      </c>
      <c r="B499" t="s">
        <v>795</v>
      </c>
      <c r="C499" s="1">
        <v>44901</v>
      </c>
      <c r="D499" s="1">
        <f>IF(E499="",C499+VLOOKUP(B499,Lembar2!$B$19:$C$24,2,FALSE),'Procurement Dataset'!E499)</f>
        <v>44919</v>
      </c>
      <c r="E499" s="1">
        <v>44919</v>
      </c>
      <c r="F499" t="s">
        <v>817</v>
      </c>
      <c r="G499" t="s">
        <v>796</v>
      </c>
      <c r="H499" s="5">
        <v>1712</v>
      </c>
      <c r="I499" s="3">
        <v>88.17</v>
      </c>
      <c r="J499" s="3">
        <v>85.86</v>
      </c>
      <c r="K499" s="5">
        <f t="shared" si="50"/>
        <v>246</v>
      </c>
      <c r="L499">
        <v>246</v>
      </c>
      <c r="M499" t="s">
        <v>793</v>
      </c>
      <c r="N499">
        <f t="shared" si="49"/>
        <v>18</v>
      </c>
      <c r="O499" t="str">
        <f t="shared" si="51"/>
        <v>Valid</v>
      </c>
      <c r="P499" s="1" t="str">
        <f>IF(N499&gt;=(VLOOKUP(B499,Lembar2!$B$19:$C$24,2,FALSE)+7),"Delayed","Ontime")</f>
        <v>Delayed</v>
      </c>
      <c r="Q499" s="3">
        <f t="shared" si="52"/>
        <v>150947.04</v>
      </c>
      <c r="R499" s="3">
        <f t="shared" si="53"/>
        <v>146992.32000000001</v>
      </c>
      <c r="S499" s="3">
        <f t="shared" si="54"/>
        <v>3954.7200000000012</v>
      </c>
      <c r="T499">
        <f t="shared" si="55"/>
        <v>0</v>
      </c>
    </row>
    <row r="500" spans="1:20" x14ac:dyDescent="0.25">
      <c r="A500" t="s">
        <v>1303</v>
      </c>
      <c r="B500" t="s">
        <v>798</v>
      </c>
      <c r="C500" s="1">
        <v>44590</v>
      </c>
      <c r="D500" s="1">
        <f>IF(E500="",C500+VLOOKUP(B500,Lembar2!$B$19:$C$24,2,FALSE),'Procurement Dataset'!E500)</f>
        <v>44600</v>
      </c>
      <c r="F500" t="s">
        <v>791</v>
      </c>
      <c r="G500" t="s">
        <v>796</v>
      </c>
      <c r="H500" s="5">
        <v>204</v>
      </c>
      <c r="I500" s="3">
        <v>40.76</v>
      </c>
      <c r="J500" s="3">
        <v>37.46</v>
      </c>
      <c r="K500" s="5">
        <f t="shared" si="50"/>
        <v>10</v>
      </c>
      <c r="L500">
        <v>10</v>
      </c>
      <c r="M500" t="s">
        <v>793</v>
      </c>
      <c r="N500" t="str">
        <f t="shared" si="49"/>
        <v/>
      </c>
      <c r="O500" t="str">
        <f t="shared" si="51"/>
        <v>Valid</v>
      </c>
      <c r="P500" s="1" t="str">
        <f>IF(N500&gt;=(VLOOKUP(B500,Lembar2!$B$19:$C$24,2,FALSE)+7),"Delayed","Ontime")</f>
        <v>Delayed</v>
      </c>
      <c r="Q500" s="3">
        <f t="shared" si="52"/>
        <v>8315.0399999999991</v>
      </c>
      <c r="R500" s="3">
        <f t="shared" si="53"/>
        <v>7641.84</v>
      </c>
      <c r="S500" s="3">
        <f t="shared" si="54"/>
        <v>673.19999999999891</v>
      </c>
      <c r="T500">
        <f t="shared" si="55"/>
        <v>0</v>
      </c>
    </row>
    <row r="501" spans="1:20" x14ac:dyDescent="0.25">
      <c r="A501" t="s">
        <v>1304</v>
      </c>
      <c r="B501" t="s">
        <v>801</v>
      </c>
      <c r="C501" s="1">
        <v>44680</v>
      </c>
      <c r="D501" s="1">
        <f>IF(E501="",C501+VLOOKUP(B501,Lembar2!$B$19:$C$24,2,FALSE),'Procurement Dataset'!E501)</f>
        <v>44694</v>
      </c>
      <c r="E501" s="1">
        <v>44694</v>
      </c>
      <c r="F501" t="s">
        <v>817</v>
      </c>
      <c r="G501" t="s">
        <v>811</v>
      </c>
      <c r="H501" s="5">
        <v>539</v>
      </c>
      <c r="I501" s="3">
        <v>33.85</v>
      </c>
      <c r="J501" s="3">
        <v>30.57</v>
      </c>
      <c r="K501" s="5">
        <f t="shared" si="50"/>
        <v>34</v>
      </c>
      <c r="L501">
        <v>34</v>
      </c>
      <c r="M501" t="s">
        <v>805</v>
      </c>
      <c r="N501">
        <f t="shared" si="49"/>
        <v>14</v>
      </c>
      <c r="O501" t="str">
        <f t="shared" si="51"/>
        <v>Valid</v>
      </c>
      <c r="P501" s="1" t="str">
        <f>IF(N501&gt;=(VLOOKUP(B501,Lembar2!$B$19:$C$24,2,FALSE)+7),"Delayed","Ontime")</f>
        <v>Ontime</v>
      </c>
      <c r="Q501" s="3">
        <f t="shared" si="52"/>
        <v>18245.150000000001</v>
      </c>
      <c r="R501" s="3">
        <f t="shared" si="53"/>
        <v>16477.23</v>
      </c>
      <c r="S501" s="3">
        <f t="shared" si="54"/>
        <v>1767.9200000000019</v>
      </c>
      <c r="T501">
        <f t="shared" si="55"/>
        <v>1</v>
      </c>
    </row>
    <row r="502" spans="1:20" x14ac:dyDescent="0.25">
      <c r="A502" t="s">
        <v>1305</v>
      </c>
      <c r="B502" t="s">
        <v>795</v>
      </c>
      <c r="C502" s="1">
        <v>44829</v>
      </c>
      <c r="D502" s="1">
        <f>IF(E502="",C502+VLOOKUP(B502,Lembar2!$B$19:$C$24,2,FALSE),'Procurement Dataset'!E502)</f>
        <v>44839</v>
      </c>
      <c r="E502" s="1">
        <v>44839</v>
      </c>
      <c r="F502" t="s">
        <v>791</v>
      </c>
      <c r="G502" t="s">
        <v>796</v>
      </c>
      <c r="H502" s="5">
        <v>1459</v>
      </c>
      <c r="I502" s="3">
        <v>45.94</v>
      </c>
      <c r="J502" s="3">
        <v>42.56</v>
      </c>
      <c r="K502" s="5">
        <f t="shared" si="50"/>
        <v>212</v>
      </c>
      <c r="L502">
        <v>212</v>
      </c>
      <c r="M502" t="s">
        <v>805</v>
      </c>
      <c r="N502">
        <f t="shared" si="49"/>
        <v>10</v>
      </c>
      <c r="O502" t="str">
        <f t="shared" si="51"/>
        <v>Valid</v>
      </c>
      <c r="P502" s="1" t="str">
        <f>IF(N502&gt;=(VLOOKUP(B502,Lembar2!$B$19:$C$24,2,FALSE)+7),"Delayed","Ontime")</f>
        <v>Ontime</v>
      </c>
      <c r="Q502" s="3">
        <f t="shared" si="52"/>
        <v>67026.459999999992</v>
      </c>
      <c r="R502" s="3">
        <f t="shared" si="53"/>
        <v>62095.040000000001</v>
      </c>
      <c r="S502" s="3">
        <f t="shared" si="54"/>
        <v>4931.419999999991</v>
      </c>
      <c r="T502">
        <f t="shared" si="55"/>
        <v>1</v>
      </c>
    </row>
    <row r="503" spans="1:20" x14ac:dyDescent="0.25">
      <c r="A503" t="s">
        <v>1306</v>
      </c>
      <c r="B503" t="s">
        <v>798</v>
      </c>
      <c r="C503" s="1">
        <v>44744</v>
      </c>
      <c r="D503" s="1">
        <f>IF(E503="",C503+VLOOKUP(B503,Lembar2!$B$19:$C$24,2,FALSE),'Procurement Dataset'!E503)</f>
        <v>44748</v>
      </c>
      <c r="E503" s="1">
        <v>44748</v>
      </c>
      <c r="F503" t="s">
        <v>799</v>
      </c>
      <c r="G503" t="s">
        <v>796</v>
      </c>
      <c r="H503" s="5">
        <v>834</v>
      </c>
      <c r="I503" s="3">
        <v>65.02</v>
      </c>
      <c r="J503" s="3">
        <v>56.19</v>
      </c>
      <c r="K503" s="5">
        <f t="shared" si="50"/>
        <v>0</v>
      </c>
      <c r="M503" t="s">
        <v>793</v>
      </c>
      <c r="N503">
        <f t="shared" si="49"/>
        <v>4</v>
      </c>
      <c r="O503" t="str">
        <f t="shared" si="51"/>
        <v>Valid</v>
      </c>
      <c r="P503" s="1" t="str">
        <f>IF(N503&gt;=(VLOOKUP(B503,Lembar2!$B$19:$C$24,2,FALSE)+7),"Delayed","Ontime")</f>
        <v>Ontime</v>
      </c>
      <c r="Q503" s="3">
        <f t="shared" si="52"/>
        <v>54226.68</v>
      </c>
      <c r="R503" s="3">
        <f t="shared" si="53"/>
        <v>46862.46</v>
      </c>
      <c r="S503" s="3">
        <f t="shared" si="54"/>
        <v>7364.2200000000012</v>
      </c>
      <c r="T503">
        <f t="shared" si="55"/>
        <v>1</v>
      </c>
    </row>
    <row r="504" spans="1:20" x14ac:dyDescent="0.25">
      <c r="A504" t="s">
        <v>1307</v>
      </c>
      <c r="B504" t="s">
        <v>798</v>
      </c>
      <c r="C504" s="1">
        <v>45156</v>
      </c>
      <c r="D504" s="1">
        <f>IF(E504="",C504+VLOOKUP(B504,Lembar2!$B$19:$C$24,2,FALSE),'Procurement Dataset'!E504)</f>
        <v>45170</v>
      </c>
      <c r="E504" s="1">
        <v>45170</v>
      </c>
      <c r="F504" t="s">
        <v>802</v>
      </c>
      <c r="G504" t="s">
        <v>811</v>
      </c>
      <c r="H504" s="5">
        <v>1177</v>
      </c>
      <c r="I504" s="3">
        <v>37.369999999999997</v>
      </c>
      <c r="J504" s="3">
        <v>34.270000000000003</v>
      </c>
      <c r="K504" s="5">
        <f t="shared" si="50"/>
        <v>60</v>
      </c>
      <c r="L504">
        <v>60</v>
      </c>
      <c r="M504" t="s">
        <v>793</v>
      </c>
      <c r="N504">
        <f t="shared" si="49"/>
        <v>14</v>
      </c>
      <c r="O504" t="str">
        <f t="shared" si="51"/>
        <v>Valid</v>
      </c>
      <c r="P504" s="1" t="str">
        <f>IF(N504&gt;=(VLOOKUP(B504,Lembar2!$B$19:$C$24,2,FALSE)+7),"Delayed","Ontime")</f>
        <v>Ontime</v>
      </c>
      <c r="Q504" s="3">
        <f t="shared" si="52"/>
        <v>43984.49</v>
      </c>
      <c r="R504" s="3">
        <f t="shared" si="53"/>
        <v>40335.79</v>
      </c>
      <c r="S504" s="3">
        <f t="shared" si="54"/>
        <v>3648.6999999999971</v>
      </c>
      <c r="T504">
        <f t="shared" si="55"/>
        <v>1</v>
      </c>
    </row>
    <row r="505" spans="1:20" x14ac:dyDescent="0.25">
      <c r="A505" t="s">
        <v>1308</v>
      </c>
      <c r="B505" t="s">
        <v>795</v>
      </c>
      <c r="C505" s="1">
        <v>44833</v>
      </c>
      <c r="D505" s="1">
        <f>IF(E505="",C505+VLOOKUP(B505,Lembar2!$B$19:$C$24,2,FALSE),'Procurement Dataset'!E505)</f>
        <v>44853</v>
      </c>
      <c r="E505" s="1">
        <v>44853</v>
      </c>
      <c r="F505" t="s">
        <v>799</v>
      </c>
      <c r="G505" t="s">
        <v>796</v>
      </c>
      <c r="H505" s="5">
        <v>1466</v>
      </c>
      <c r="I505" s="3">
        <v>68.819999999999993</v>
      </c>
      <c r="J505" s="3">
        <v>66.819999999999993</v>
      </c>
      <c r="K505" s="5">
        <f t="shared" si="50"/>
        <v>211</v>
      </c>
      <c r="L505">
        <v>211</v>
      </c>
      <c r="M505" t="s">
        <v>793</v>
      </c>
      <c r="N505">
        <f t="shared" si="49"/>
        <v>20</v>
      </c>
      <c r="O505" t="str">
        <f t="shared" si="51"/>
        <v>Valid</v>
      </c>
      <c r="P505" s="1" t="str">
        <f>IF(N505&gt;=(VLOOKUP(B505,Lembar2!$B$19:$C$24,2,FALSE)+7),"Delayed","Ontime")</f>
        <v>Delayed</v>
      </c>
      <c r="Q505" s="3">
        <f t="shared" si="52"/>
        <v>100890.12</v>
      </c>
      <c r="R505" s="3">
        <f t="shared" si="53"/>
        <v>97958.12</v>
      </c>
      <c r="S505" s="3">
        <f t="shared" si="54"/>
        <v>2932</v>
      </c>
      <c r="T505">
        <f t="shared" si="55"/>
        <v>0</v>
      </c>
    </row>
    <row r="506" spans="1:20" x14ac:dyDescent="0.25">
      <c r="A506" t="s">
        <v>1309</v>
      </c>
      <c r="B506" t="s">
        <v>807</v>
      </c>
      <c r="C506" s="1">
        <v>44601</v>
      </c>
      <c r="D506" s="1">
        <f>IF(E506="",C506+VLOOKUP(B506,Lembar2!$B$19:$C$24,2,FALSE),'Procurement Dataset'!E506)</f>
        <v>44605</v>
      </c>
      <c r="E506" s="1">
        <v>44605</v>
      </c>
      <c r="F506" t="s">
        <v>817</v>
      </c>
      <c r="G506" t="s">
        <v>796</v>
      </c>
      <c r="H506" s="5">
        <v>1884</v>
      </c>
      <c r="I506" s="3">
        <v>47.08</v>
      </c>
      <c r="J506" s="3">
        <v>44.31</v>
      </c>
      <c r="K506" s="5">
        <f t="shared" si="50"/>
        <v>54</v>
      </c>
      <c r="L506">
        <v>54</v>
      </c>
      <c r="M506" t="s">
        <v>793</v>
      </c>
      <c r="N506">
        <f t="shared" si="49"/>
        <v>4</v>
      </c>
      <c r="O506" t="str">
        <f t="shared" si="51"/>
        <v>Valid</v>
      </c>
      <c r="P506" s="1" t="str">
        <f>IF(N506&gt;=(VLOOKUP(B506,Lembar2!$B$19:$C$24,2,FALSE)+7),"Delayed","Ontime")</f>
        <v>Ontime</v>
      </c>
      <c r="Q506" s="3">
        <f t="shared" si="52"/>
        <v>88698.72</v>
      </c>
      <c r="R506" s="3">
        <f t="shared" si="53"/>
        <v>83480.040000000008</v>
      </c>
      <c r="S506" s="3">
        <f t="shared" si="54"/>
        <v>5218.679999999993</v>
      </c>
      <c r="T506">
        <f t="shared" si="55"/>
        <v>1</v>
      </c>
    </row>
    <row r="507" spans="1:20" x14ac:dyDescent="0.25">
      <c r="A507" t="s">
        <v>1310</v>
      </c>
      <c r="B507" t="s">
        <v>801</v>
      </c>
      <c r="C507" s="1">
        <v>44673</v>
      </c>
      <c r="D507" s="1">
        <f>IF(E507="",C507+VLOOKUP(B507,Lembar2!$B$19:$C$24,2,FALSE),'Procurement Dataset'!E507)</f>
        <v>44689</v>
      </c>
      <c r="E507" s="1">
        <v>44689</v>
      </c>
      <c r="F507" t="s">
        <v>817</v>
      </c>
      <c r="G507" t="s">
        <v>796</v>
      </c>
      <c r="H507" s="5">
        <v>295</v>
      </c>
      <c r="I507" s="3">
        <v>60.58</v>
      </c>
      <c r="J507" s="3">
        <v>57.32</v>
      </c>
      <c r="K507" s="5">
        <f t="shared" si="50"/>
        <v>31</v>
      </c>
      <c r="L507">
        <v>31</v>
      </c>
      <c r="M507" t="s">
        <v>793</v>
      </c>
      <c r="N507">
        <f t="shared" si="49"/>
        <v>16</v>
      </c>
      <c r="O507" t="str">
        <f t="shared" si="51"/>
        <v>Valid</v>
      </c>
      <c r="P507" s="1" t="str">
        <f>IF(N507&gt;=(VLOOKUP(B507,Lembar2!$B$19:$C$24,2,FALSE)+7),"Delayed","Ontime")</f>
        <v>Ontime</v>
      </c>
      <c r="Q507" s="3">
        <f t="shared" si="52"/>
        <v>17871.099999999999</v>
      </c>
      <c r="R507" s="3">
        <f t="shared" si="53"/>
        <v>16909.400000000001</v>
      </c>
      <c r="S507" s="3">
        <f t="shared" si="54"/>
        <v>961.69999999999709</v>
      </c>
      <c r="T507">
        <f t="shared" si="55"/>
        <v>1</v>
      </c>
    </row>
    <row r="508" spans="1:20" x14ac:dyDescent="0.25">
      <c r="A508" t="s">
        <v>1311</v>
      </c>
      <c r="B508" t="s">
        <v>798</v>
      </c>
      <c r="C508" s="1">
        <v>45172</v>
      </c>
      <c r="D508" s="1">
        <f>IF(E508="",C508+VLOOKUP(B508,Lembar2!$B$19:$C$24,2,FALSE),'Procurement Dataset'!E508)</f>
        <v>45173</v>
      </c>
      <c r="E508" s="1">
        <v>45173</v>
      </c>
      <c r="F508" t="s">
        <v>804</v>
      </c>
      <c r="G508" t="s">
        <v>796</v>
      </c>
      <c r="H508" s="5">
        <v>1249</v>
      </c>
      <c r="I508" s="3">
        <v>54.18</v>
      </c>
      <c r="J508" s="3">
        <v>47.29</v>
      </c>
      <c r="K508" s="5">
        <f t="shared" si="50"/>
        <v>59</v>
      </c>
      <c r="L508">
        <v>59</v>
      </c>
      <c r="M508" t="s">
        <v>793</v>
      </c>
      <c r="N508">
        <f t="shared" si="49"/>
        <v>1</v>
      </c>
      <c r="O508" t="str">
        <f t="shared" si="51"/>
        <v>Valid</v>
      </c>
      <c r="P508" s="1" t="str">
        <f>IF(N508&gt;=(VLOOKUP(B508,Lembar2!$B$19:$C$24,2,FALSE)+7),"Delayed","Ontime")</f>
        <v>Ontime</v>
      </c>
      <c r="Q508" s="3">
        <f t="shared" si="52"/>
        <v>67670.819999999992</v>
      </c>
      <c r="R508" s="3">
        <f t="shared" si="53"/>
        <v>59065.21</v>
      </c>
      <c r="S508" s="3">
        <f t="shared" si="54"/>
        <v>8605.6099999999933</v>
      </c>
      <c r="T508">
        <f t="shared" si="55"/>
        <v>1</v>
      </c>
    </row>
    <row r="509" spans="1:20" x14ac:dyDescent="0.25">
      <c r="A509" t="s">
        <v>1312</v>
      </c>
      <c r="B509" t="s">
        <v>795</v>
      </c>
      <c r="C509" s="1">
        <v>45006</v>
      </c>
      <c r="D509" s="1">
        <f>IF(E509="",C509+VLOOKUP(B509,Lembar2!$B$19:$C$24,2,FALSE),'Procurement Dataset'!E509)</f>
        <v>45025</v>
      </c>
      <c r="E509" s="1">
        <v>45025</v>
      </c>
      <c r="F509" t="s">
        <v>804</v>
      </c>
      <c r="G509" t="s">
        <v>796</v>
      </c>
      <c r="H509" s="5">
        <v>1112</v>
      </c>
      <c r="I509" s="3">
        <v>39.06</v>
      </c>
      <c r="J509" s="3">
        <v>33.6</v>
      </c>
      <c r="K509" s="5">
        <f t="shared" si="50"/>
        <v>184</v>
      </c>
      <c r="L509">
        <v>184</v>
      </c>
      <c r="M509" t="s">
        <v>805</v>
      </c>
      <c r="N509">
        <f t="shared" si="49"/>
        <v>19</v>
      </c>
      <c r="O509" t="str">
        <f t="shared" si="51"/>
        <v>Valid</v>
      </c>
      <c r="P509" s="1" t="str">
        <f>IF(N509&gt;=(VLOOKUP(B509,Lembar2!$B$19:$C$24,2,FALSE)+7),"Delayed","Ontime")</f>
        <v>Delayed</v>
      </c>
      <c r="Q509" s="3">
        <f t="shared" si="52"/>
        <v>43434.720000000001</v>
      </c>
      <c r="R509" s="3">
        <f t="shared" si="53"/>
        <v>37363.200000000004</v>
      </c>
      <c r="S509" s="3">
        <f t="shared" si="54"/>
        <v>6071.5199999999968</v>
      </c>
      <c r="T509">
        <f t="shared" si="55"/>
        <v>0</v>
      </c>
    </row>
    <row r="510" spans="1:20" x14ac:dyDescent="0.25">
      <c r="A510" t="s">
        <v>1313</v>
      </c>
      <c r="B510" t="s">
        <v>798</v>
      </c>
      <c r="C510" s="1">
        <v>44915</v>
      </c>
      <c r="D510" s="1">
        <f>IF(E510="",C510+VLOOKUP(B510,Lembar2!$B$19:$C$24,2,FALSE),'Procurement Dataset'!E510)</f>
        <v>44920</v>
      </c>
      <c r="E510" s="1">
        <v>44920</v>
      </c>
      <c r="F510" t="s">
        <v>791</v>
      </c>
      <c r="G510" t="s">
        <v>796</v>
      </c>
      <c r="H510" s="5">
        <v>1550</v>
      </c>
      <c r="I510" s="3">
        <v>100.61</v>
      </c>
      <c r="J510" s="3">
        <v>97.43</v>
      </c>
      <c r="K510" s="5">
        <f t="shared" si="50"/>
        <v>66</v>
      </c>
      <c r="L510">
        <v>66</v>
      </c>
      <c r="M510" t="s">
        <v>793</v>
      </c>
      <c r="N510">
        <f t="shared" si="49"/>
        <v>5</v>
      </c>
      <c r="O510" t="str">
        <f t="shared" si="51"/>
        <v>Valid</v>
      </c>
      <c r="P510" s="1" t="str">
        <f>IF(N510&gt;=(VLOOKUP(B510,Lembar2!$B$19:$C$24,2,FALSE)+7),"Delayed","Ontime")</f>
        <v>Ontime</v>
      </c>
      <c r="Q510" s="3">
        <f t="shared" si="52"/>
        <v>155945.5</v>
      </c>
      <c r="R510" s="3">
        <f t="shared" si="53"/>
        <v>151016.5</v>
      </c>
      <c r="S510" s="3">
        <f t="shared" si="54"/>
        <v>4929</v>
      </c>
      <c r="T510">
        <f t="shared" si="55"/>
        <v>1</v>
      </c>
    </row>
    <row r="511" spans="1:20" x14ac:dyDescent="0.25">
      <c r="A511" t="s">
        <v>1314</v>
      </c>
      <c r="B511" t="s">
        <v>795</v>
      </c>
      <c r="C511" s="1">
        <v>44883</v>
      </c>
      <c r="D511" s="1">
        <f>IF(E511="",C511+VLOOKUP(B511,Lembar2!$B$19:$C$24,2,FALSE),'Procurement Dataset'!E511)</f>
        <v>44884</v>
      </c>
      <c r="E511" s="1">
        <v>44884</v>
      </c>
      <c r="F511" t="s">
        <v>817</v>
      </c>
      <c r="G511" t="s">
        <v>796</v>
      </c>
      <c r="H511" s="5">
        <v>1755</v>
      </c>
      <c r="I511" s="3">
        <v>82.66</v>
      </c>
      <c r="J511" s="3">
        <v>73.67</v>
      </c>
      <c r="K511" s="5">
        <f t="shared" si="50"/>
        <v>258</v>
      </c>
      <c r="L511">
        <v>258</v>
      </c>
      <c r="M511" t="s">
        <v>805</v>
      </c>
      <c r="N511">
        <f t="shared" si="49"/>
        <v>1</v>
      </c>
      <c r="O511" t="str">
        <f t="shared" si="51"/>
        <v>Valid</v>
      </c>
      <c r="P511" s="1" t="str">
        <f>IF(N511&gt;=(VLOOKUP(B511,Lembar2!$B$19:$C$24,2,FALSE)+7),"Delayed","Ontime")</f>
        <v>Ontime</v>
      </c>
      <c r="Q511" s="3">
        <f t="shared" si="52"/>
        <v>145068.29999999999</v>
      </c>
      <c r="R511" s="3">
        <f t="shared" si="53"/>
        <v>129290.85</v>
      </c>
      <c r="S511" s="3">
        <f t="shared" si="54"/>
        <v>15777.449999999983</v>
      </c>
      <c r="T511">
        <f t="shared" si="55"/>
        <v>1</v>
      </c>
    </row>
    <row r="512" spans="1:20" x14ac:dyDescent="0.25">
      <c r="A512" t="s">
        <v>1315</v>
      </c>
      <c r="B512" t="s">
        <v>798</v>
      </c>
      <c r="C512" s="1">
        <v>45008</v>
      </c>
      <c r="D512" s="1">
        <f>IF(E512="",C512+VLOOKUP(B512,Lembar2!$B$19:$C$24,2,FALSE),'Procurement Dataset'!E512)</f>
        <v>45016</v>
      </c>
      <c r="E512" s="1">
        <v>45016</v>
      </c>
      <c r="F512" t="s">
        <v>804</v>
      </c>
      <c r="G512" t="s">
        <v>796</v>
      </c>
      <c r="H512" s="5">
        <v>808</v>
      </c>
      <c r="I512" s="3">
        <v>24.19</v>
      </c>
      <c r="J512" s="3">
        <v>21.64</v>
      </c>
      <c r="K512" s="5">
        <f t="shared" si="50"/>
        <v>39</v>
      </c>
      <c r="L512">
        <v>39</v>
      </c>
      <c r="M512" t="s">
        <v>793</v>
      </c>
      <c r="N512">
        <f t="shared" si="49"/>
        <v>8</v>
      </c>
      <c r="O512" t="str">
        <f t="shared" si="51"/>
        <v>Valid</v>
      </c>
      <c r="P512" s="1" t="str">
        <f>IF(N512&gt;=(VLOOKUP(B512,Lembar2!$B$19:$C$24,2,FALSE)+7),"Delayed","Ontime")</f>
        <v>Ontime</v>
      </c>
      <c r="Q512" s="3">
        <f t="shared" si="52"/>
        <v>19545.52</v>
      </c>
      <c r="R512" s="3">
        <f t="shared" si="53"/>
        <v>17485.12</v>
      </c>
      <c r="S512" s="3">
        <f t="shared" si="54"/>
        <v>2060.4000000000015</v>
      </c>
      <c r="T512">
        <f t="shared" si="55"/>
        <v>1</v>
      </c>
    </row>
    <row r="513" spans="1:20" x14ac:dyDescent="0.25">
      <c r="A513" t="s">
        <v>1316</v>
      </c>
      <c r="B513" t="s">
        <v>790</v>
      </c>
      <c r="C513" s="1">
        <v>45182</v>
      </c>
      <c r="D513" s="1">
        <f>IF(E513="",C513+VLOOKUP(B513,Lembar2!$B$19:$C$24,2,FALSE),'Procurement Dataset'!E513)</f>
        <v>45188</v>
      </c>
      <c r="E513" s="1">
        <v>45188</v>
      </c>
      <c r="F513" t="s">
        <v>804</v>
      </c>
      <c r="G513" t="s">
        <v>811</v>
      </c>
      <c r="H513" s="5">
        <v>587</v>
      </c>
      <c r="I513" s="3">
        <v>96.98</v>
      </c>
      <c r="J513" s="3">
        <v>95.35</v>
      </c>
      <c r="K513" s="5">
        <f t="shared" si="50"/>
        <v>14</v>
      </c>
      <c r="L513">
        <v>14</v>
      </c>
      <c r="M513" t="s">
        <v>793</v>
      </c>
      <c r="N513">
        <f t="shared" si="49"/>
        <v>6</v>
      </c>
      <c r="O513" t="str">
        <f t="shared" si="51"/>
        <v>Valid</v>
      </c>
      <c r="P513" s="1" t="str">
        <f>IF(N513&gt;=(VLOOKUP(B513,Lembar2!$B$19:$C$24,2,FALSE)+7),"Delayed","Ontime")</f>
        <v>Ontime</v>
      </c>
      <c r="Q513" s="3">
        <f t="shared" si="52"/>
        <v>56927.26</v>
      </c>
      <c r="R513" s="3">
        <f t="shared" si="53"/>
        <v>55970.45</v>
      </c>
      <c r="S513" s="3">
        <f t="shared" si="54"/>
        <v>956.81000000000495</v>
      </c>
      <c r="T513">
        <f t="shared" si="55"/>
        <v>1</v>
      </c>
    </row>
    <row r="514" spans="1:20" x14ac:dyDescent="0.25">
      <c r="A514" t="s">
        <v>1317</v>
      </c>
      <c r="B514" t="s">
        <v>807</v>
      </c>
      <c r="C514" s="1">
        <v>45085</v>
      </c>
      <c r="D514" s="1">
        <f>IF(E514="",C514+VLOOKUP(B514,Lembar2!$B$19:$C$24,2,FALSE),'Procurement Dataset'!E514)</f>
        <v>45088</v>
      </c>
      <c r="E514" s="1">
        <v>45088</v>
      </c>
      <c r="F514" t="s">
        <v>799</v>
      </c>
      <c r="G514" t="s">
        <v>796</v>
      </c>
      <c r="H514" s="5">
        <v>1940</v>
      </c>
      <c r="I514" s="3">
        <v>58.45</v>
      </c>
      <c r="J514" s="3">
        <v>50.29</v>
      </c>
      <c r="K514" s="5">
        <f t="shared" si="50"/>
        <v>54</v>
      </c>
      <c r="L514">
        <v>54</v>
      </c>
      <c r="M514" t="s">
        <v>793</v>
      </c>
      <c r="N514">
        <f t="shared" ref="N514:N577" si="56">IF(E514 = "", "", E514-C514)</f>
        <v>3</v>
      </c>
      <c r="O514" t="str">
        <f t="shared" si="51"/>
        <v>Valid</v>
      </c>
      <c r="P514" s="1" t="str">
        <f>IF(N514&gt;=(VLOOKUP(B514,Lembar2!$B$19:$C$24,2,FALSE)+7),"Delayed","Ontime")</f>
        <v>Ontime</v>
      </c>
      <c r="Q514" s="3">
        <f t="shared" si="52"/>
        <v>113393</v>
      </c>
      <c r="R514" s="3">
        <f t="shared" si="53"/>
        <v>97562.599999999991</v>
      </c>
      <c r="S514" s="3">
        <f t="shared" si="54"/>
        <v>15830.400000000009</v>
      </c>
      <c r="T514">
        <f t="shared" si="55"/>
        <v>1</v>
      </c>
    </row>
    <row r="515" spans="1:20" x14ac:dyDescent="0.25">
      <c r="A515" t="s">
        <v>1318</v>
      </c>
      <c r="B515" t="s">
        <v>801</v>
      </c>
      <c r="C515" s="1">
        <v>44680</v>
      </c>
      <c r="D515" s="1">
        <f>IF(E515="",C515+VLOOKUP(B515,Lembar2!$B$19:$C$24,2,FALSE),'Procurement Dataset'!E515)</f>
        <v>44692</v>
      </c>
      <c r="E515" s="1">
        <v>44692</v>
      </c>
      <c r="F515" t="s">
        <v>791</v>
      </c>
      <c r="G515" t="s">
        <v>792</v>
      </c>
      <c r="H515" s="5">
        <v>1891</v>
      </c>
      <c r="I515" s="3">
        <v>91.87</v>
      </c>
      <c r="J515" s="3">
        <v>80.28</v>
      </c>
      <c r="K515" s="5">
        <f t="shared" ref="K515:K578" si="57">IF(L515="", 0, L515)</f>
        <v>158</v>
      </c>
      <c r="L515">
        <v>158</v>
      </c>
      <c r="M515" t="s">
        <v>793</v>
      </c>
      <c r="N515">
        <f t="shared" si="56"/>
        <v>12</v>
      </c>
      <c r="O515" t="str">
        <f t="shared" ref="O515:O578" si="58">IF(D515&lt;C515,"Invalid","Valid")</f>
        <v>Valid</v>
      </c>
      <c r="P515" s="1" t="str">
        <f>IF(N515&gt;=(VLOOKUP(B515,Lembar2!$B$19:$C$24,2,FALSE)+7),"Delayed","Ontime")</f>
        <v>Ontime</v>
      </c>
      <c r="Q515" s="3">
        <f t="shared" ref="Q515:Q578" si="59">H515*I515</f>
        <v>173726.17</v>
      </c>
      <c r="R515" s="3">
        <f t="shared" ref="R515:R578" si="60">H515*J515</f>
        <v>151809.48000000001</v>
      </c>
      <c r="S515" s="3">
        <f t="shared" ref="S515:S578" si="61">Q515-R515</f>
        <v>21916.690000000002</v>
      </c>
      <c r="T515">
        <f t="shared" ref="T515:T578" si="62">IF(P515="Ontime",1,0)</f>
        <v>1</v>
      </c>
    </row>
    <row r="516" spans="1:20" x14ac:dyDescent="0.25">
      <c r="A516" t="s">
        <v>1319</v>
      </c>
      <c r="B516" t="s">
        <v>807</v>
      </c>
      <c r="C516" s="1">
        <v>44956</v>
      </c>
      <c r="D516" s="1">
        <f>IF(E516="",C516+VLOOKUP(B516,Lembar2!$B$19:$C$24,2,FALSE),'Procurement Dataset'!E516)</f>
        <v>44973</v>
      </c>
      <c r="E516" s="1">
        <v>44973</v>
      </c>
      <c r="F516" t="s">
        <v>802</v>
      </c>
      <c r="G516" t="s">
        <v>796</v>
      </c>
      <c r="H516" s="5">
        <v>970</v>
      </c>
      <c r="I516" s="3">
        <v>86.91</v>
      </c>
      <c r="J516" s="3">
        <v>78.44</v>
      </c>
      <c r="K516" s="5">
        <f t="shared" si="57"/>
        <v>18</v>
      </c>
      <c r="L516">
        <v>18</v>
      </c>
      <c r="M516" t="s">
        <v>793</v>
      </c>
      <c r="N516">
        <f t="shared" si="56"/>
        <v>17</v>
      </c>
      <c r="O516" t="str">
        <f t="shared" si="58"/>
        <v>Valid</v>
      </c>
      <c r="P516" s="1" t="str">
        <f>IF(N516&gt;=(VLOOKUP(B516,Lembar2!$B$19:$C$24,2,FALSE)+7),"Delayed","Ontime")</f>
        <v>Ontime</v>
      </c>
      <c r="Q516" s="3">
        <f t="shared" si="59"/>
        <v>84302.7</v>
      </c>
      <c r="R516" s="3">
        <f t="shared" si="60"/>
        <v>76086.8</v>
      </c>
      <c r="S516" s="3">
        <f t="shared" si="61"/>
        <v>8215.8999999999942</v>
      </c>
      <c r="T516">
        <f t="shared" si="62"/>
        <v>1</v>
      </c>
    </row>
    <row r="517" spans="1:20" x14ac:dyDescent="0.25">
      <c r="A517" t="s">
        <v>1320</v>
      </c>
      <c r="B517" t="s">
        <v>807</v>
      </c>
      <c r="C517" s="1">
        <v>45152</v>
      </c>
      <c r="D517" s="1">
        <f>IF(E517="",C517+VLOOKUP(B517,Lembar2!$B$19:$C$24,2,FALSE),'Procurement Dataset'!E517)</f>
        <v>45169</v>
      </c>
      <c r="E517" s="1">
        <v>45169</v>
      </c>
      <c r="F517" t="s">
        <v>799</v>
      </c>
      <c r="G517" t="s">
        <v>796</v>
      </c>
      <c r="H517" s="5">
        <v>457</v>
      </c>
      <c r="I517" s="3">
        <v>52.85</v>
      </c>
      <c r="J517" s="3">
        <v>50.34</v>
      </c>
      <c r="K517" s="5">
        <f t="shared" si="57"/>
        <v>16</v>
      </c>
      <c r="L517">
        <v>16</v>
      </c>
      <c r="M517" t="s">
        <v>793</v>
      </c>
      <c r="N517">
        <f t="shared" si="56"/>
        <v>17</v>
      </c>
      <c r="O517" t="str">
        <f t="shared" si="58"/>
        <v>Valid</v>
      </c>
      <c r="P517" s="1" t="str">
        <f>IF(N517&gt;=(VLOOKUP(B517,Lembar2!$B$19:$C$24,2,FALSE)+7),"Delayed","Ontime")</f>
        <v>Ontime</v>
      </c>
      <c r="Q517" s="3">
        <f t="shared" si="59"/>
        <v>24152.45</v>
      </c>
      <c r="R517" s="3">
        <f t="shared" si="60"/>
        <v>23005.38</v>
      </c>
      <c r="S517" s="3">
        <f t="shared" si="61"/>
        <v>1147.0699999999997</v>
      </c>
      <c r="T517">
        <f t="shared" si="62"/>
        <v>1</v>
      </c>
    </row>
    <row r="518" spans="1:20" x14ac:dyDescent="0.25">
      <c r="A518" t="s">
        <v>1321</v>
      </c>
      <c r="B518" t="s">
        <v>801</v>
      </c>
      <c r="C518" s="1">
        <v>44756</v>
      </c>
      <c r="D518" s="1">
        <f>IF(E518="",C518+VLOOKUP(B518,Lembar2!$B$19:$C$24,2,FALSE),'Procurement Dataset'!E518)</f>
        <v>44769</v>
      </c>
      <c r="E518" s="1">
        <v>44769</v>
      </c>
      <c r="F518" t="s">
        <v>791</v>
      </c>
      <c r="G518" t="s">
        <v>792</v>
      </c>
      <c r="H518" s="5">
        <v>574</v>
      </c>
      <c r="I518" s="3">
        <v>12.38</v>
      </c>
      <c r="J518" s="3">
        <v>11.47</v>
      </c>
      <c r="K518" s="5">
        <f t="shared" si="57"/>
        <v>0</v>
      </c>
      <c r="M518" t="s">
        <v>805</v>
      </c>
      <c r="N518">
        <f t="shared" si="56"/>
        <v>13</v>
      </c>
      <c r="O518" t="str">
        <f t="shared" si="58"/>
        <v>Valid</v>
      </c>
      <c r="P518" s="1" t="str">
        <f>IF(N518&gt;=(VLOOKUP(B518,Lembar2!$B$19:$C$24,2,FALSE)+7),"Delayed","Ontime")</f>
        <v>Ontime</v>
      </c>
      <c r="Q518" s="3">
        <f t="shared" si="59"/>
        <v>7106.1200000000008</v>
      </c>
      <c r="R518" s="3">
        <f t="shared" si="60"/>
        <v>6583.7800000000007</v>
      </c>
      <c r="S518" s="3">
        <f t="shared" si="61"/>
        <v>522.34000000000015</v>
      </c>
      <c r="T518">
        <f t="shared" si="62"/>
        <v>1</v>
      </c>
    </row>
    <row r="519" spans="1:20" x14ac:dyDescent="0.25">
      <c r="A519" t="s">
        <v>1322</v>
      </c>
      <c r="B519" t="s">
        <v>807</v>
      </c>
      <c r="C519" s="1">
        <v>44822</v>
      </c>
      <c r="D519" s="1">
        <f>IF(E519="",C519+VLOOKUP(B519,Lembar2!$B$19:$C$24,2,FALSE),'Procurement Dataset'!E519)</f>
        <v>44824</v>
      </c>
      <c r="E519" s="1">
        <v>44824</v>
      </c>
      <c r="F519" t="s">
        <v>791</v>
      </c>
      <c r="G519" t="s">
        <v>796</v>
      </c>
      <c r="H519" s="5">
        <v>877</v>
      </c>
      <c r="I519" s="3">
        <v>35.549999999999997</v>
      </c>
      <c r="J519" s="3">
        <v>34.69</v>
      </c>
      <c r="K519" s="5">
        <f t="shared" si="57"/>
        <v>24</v>
      </c>
      <c r="L519">
        <v>24</v>
      </c>
      <c r="M519" t="s">
        <v>793</v>
      </c>
      <c r="N519">
        <f t="shared" si="56"/>
        <v>2</v>
      </c>
      <c r="O519" t="str">
        <f t="shared" si="58"/>
        <v>Valid</v>
      </c>
      <c r="P519" s="1" t="str">
        <f>IF(N519&gt;=(VLOOKUP(B519,Lembar2!$B$19:$C$24,2,FALSE)+7),"Delayed","Ontime")</f>
        <v>Ontime</v>
      </c>
      <c r="Q519" s="3">
        <f t="shared" si="59"/>
        <v>31177.35</v>
      </c>
      <c r="R519" s="3">
        <f t="shared" si="60"/>
        <v>30423.129999999997</v>
      </c>
      <c r="S519" s="3">
        <f t="shared" si="61"/>
        <v>754.22000000000116</v>
      </c>
      <c r="T519">
        <f t="shared" si="62"/>
        <v>1</v>
      </c>
    </row>
    <row r="520" spans="1:20" x14ac:dyDescent="0.25">
      <c r="A520" t="s">
        <v>1323</v>
      </c>
      <c r="B520" t="s">
        <v>790</v>
      </c>
      <c r="C520" s="1">
        <v>44607</v>
      </c>
      <c r="D520" s="1">
        <f>IF(E520="",C520+VLOOKUP(B520,Lembar2!$B$19:$C$24,2,FALSE),'Procurement Dataset'!E520)</f>
        <v>44619</v>
      </c>
      <c r="E520" s="1">
        <v>44619</v>
      </c>
      <c r="F520" t="s">
        <v>799</v>
      </c>
      <c r="G520" t="s">
        <v>796</v>
      </c>
      <c r="H520" s="5">
        <v>1579</v>
      </c>
      <c r="I520" s="3">
        <v>59.04</v>
      </c>
      <c r="J520" s="3">
        <v>50.95</v>
      </c>
      <c r="K520" s="5">
        <f t="shared" si="57"/>
        <v>29</v>
      </c>
      <c r="L520">
        <v>29</v>
      </c>
      <c r="M520" t="s">
        <v>793</v>
      </c>
      <c r="N520">
        <f t="shared" si="56"/>
        <v>12</v>
      </c>
      <c r="O520" t="str">
        <f t="shared" si="58"/>
        <v>Valid</v>
      </c>
      <c r="P520" s="1" t="str">
        <f>IF(N520&gt;=(VLOOKUP(B520,Lembar2!$B$19:$C$24,2,FALSE)+7),"Delayed","Ontime")</f>
        <v>Ontime</v>
      </c>
      <c r="Q520" s="3">
        <f t="shared" si="59"/>
        <v>93224.16</v>
      </c>
      <c r="R520" s="3">
        <f t="shared" si="60"/>
        <v>80450.05</v>
      </c>
      <c r="S520" s="3">
        <f t="shared" si="61"/>
        <v>12774.11</v>
      </c>
      <c r="T520">
        <f t="shared" si="62"/>
        <v>1</v>
      </c>
    </row>
    <row r="521" spans="1:20" x14ac:dyDescent="0.25">
      <c r="A521" t="s">
        <v>1324</v>
      </c>
      <c r="B521" t="s">
        <v>795</v>
      </c>
      <c r="C521" s="1">
        <v>45287</v>
      </c>
      <c r="D521" s="1">
        <f>IF(E521="",C521+VLOOKUP(B521,Lembar2!$B$19:$C$24,2,FALSE),'Procurement Dataset'!E521)</f>
        <v>45288</v>
      </c>
      <c r="E521" s="1">
        <v>45288</v>
      </c>
      <c r="F521" t="s">
        <v>804</v>
      </c>
      <c r="G521" t="s">
        <v>796</v>
      </c>
      <c r="H521" s="5">
        <v>952</v>
      </c>
      <c r="I521" s="3">
        <v>74.72</v>
      </c>
      <c r="J521" s="3">
        <v>69.73</v>
      </c>
      <c r="K521" s="5">
        <f t="shared" si="57"/>
        <v>0</v>
      </c>
      <c r="M521" t="s">
        <v>793</v>
      </c>
      <c r="N521">
        <f t="shared" si="56"/>
        <v>1</v>
      </c>
      <c r="O521" t="str">
        <f t="shared" si="58"/>
        <v>Valid</v>
      </c>
      <c r="P521" s="1" t="str">
        <f>IF(N521&gt;=(VLOOKUP(B521,Lembar2!$B$19:$C$24,2,FALSE)+7),"Delayed","Ontime")</f>
        <v>Ontime</v>
      </c>
      <c r="Q521" s="3">
        <f t="shared" si="59"/>
        <v>71133.440000000002</v>
      </c>
      <c r="R521" s="3">
        <f t="shared" si="60"/>
        <v>66382.960000000006</v>
      </c>
      <c r="S521" s="3">
        <f t="shared" si="61"/>
        <v>4750.4799999999959</v>
      </c>
      <c r="T521">
        <f t="shared" si="62"/>
        <v>1</v>
      </c>
    </row>
    <row r="522" spans="1:20" x14ac:dyDescent="0.25">
      <c r="A522" t="s">
        <v>1325</v>
      </c>
      <c r="B522" t="s">
        <v>801</v>
      </c>
      <c r="C522" s="1">
        <v>45008</v>
      </c>
      <c r="D522" s="1">
        <f>IF(E522="",C522+VLOOKUP(B522,Lembar2!$B$19:$C$24,2,FALSE),'Procurement Dataset'!E522)</f>
        <v>45011</v>
      </c>
      <c r="E522" s="1">
        <v>45011</v>
      </c>
      <c r="F522" t="s">
        <v>804</v>
      </c>
      <c r="G522" t="s">
        <v>813</v>
      </c>
      <c r="H522" s="5">
        <v>1898</v>
      </c>
      <c r="I522" s="3">
        <v>35.53</v>
      </c>
      <c r="J522" s="3">
        <v>33.25</v>
      </c>
      <c r="K522" s="5">
        <f t="shared" si="57"/>
        <v>187</v>
      </c>
      <c r="L522">
        <v>187</v>
      </c>
      <c r="M522" t="s">
        <v>793</v>
      </c>
      <c r="N522">
        <f t="shared" si="56"/>
        <v>3</v>
      </c>
      <c r="O522" t="str">
        <f t="shared" si="58"/>
        <v>Valid</v>
      </c>
      <c r="P522" s="1" t="str">
        <f>IF(N522&gt;=(VLOOKUP(B522,Lembar2!$B$19:$C$24,2,FALSE)+7),"Delayed","Ontime")</f>
        <v>Ontime</v>
      </c>
      <c r="Q522" s="3">
        <f t="shared" si="59"/>
        <v>67435.94</v>
      </c>
      <c r="R522" s="3">
        <f t="shared" si="60"/>
        <v>63108.5</v>
      </c>
      <c r="S522" s="3">
        <f t="shared" si="61"/>
        <v>4327.4400000000023</v>
      </c>
      <c r="T522">
        <f t="shared" si="62"/>
        <v>1</v>
      </c>
    </row>
    <row r="523" spans="1:20" x14ac:dyDescent="0.25">
      <c r="A523" t="s">
        <v>1326</v>
      </c>
      <c r="B523" t="s">
        <v>795</v>
      </c>
      <c r="C523" s="1">
        <v>44563</v>
      </c>
      <c r="D523" s="1">
        <f>IF(E523="",C523+VLOOKUP(B523,Lembar2!$B$19:$C$24,2,FALSE),'Procurement Dataset'!E523)</f>
        <v>44567</v>
      </c>
      <c r="E523" s="1">
        <v>44567</v>
      </c>
      <c r="F523" t="s">
        <v>802</v>
      </c>
      <c r="G523" t="s">
        <v>796</v>
      </c>
      <c r="H523" s="5">
        <v>85</v>
      </c>
      <c r="I523" s="3">
        <v>22.54</v>
      </c>
      <c r="J523" s="3">
        <v>20.68</v>
      </c>
      <c r="K523" s="5">
        <f t="shared" si="57"/>
        <v>6</v>
      </c>
      <c r="L523">
        <v>6</v>
      </c>
      <c r="M523" t="s">
        <v>793</v>
      </c>
      <c r="N523">
        <f t="shared" si="56"/>
        <v>4</v>
      </c>
      <c r="O523" t="str">
        <f t="shared" si="58"/>
        <v>Valid</v>
      </c>
      <c r="P523" s="1" t="str">
        <f>IF(N523&gt;=(VLOOKUP(B523,Lembar2!$B$19:$C$24,2,FALSE)+7),"Delayed","Ontime")</f>
        <v>Ontime</v>
      </c>
      <c r="Q523" s="3">
        <f t="shared" si="59"/>
        <v>1915.8999999999999</v>
      </c>
      <c r="R523" s="3">
        <f t="shared" si="60"/>
        <v>1757.8</v>
      </c>
      <c r="S523" s="3">
        <f t="shared" si="61"/>
        <v>158.09999999999991</v>
      </c>
      <c r="T523">
        <f t="shared" si="62"/>
        <v>1</v>
      </c>
    </row>
    <row r="524" spans="1:20" x14ac:dyDescent="0.25">
      <c r="A524" t="s">
        <v>1327</v>
      </c>
      <c r="B524" t="s">
        <v>798</v>
      </c>
      <c r="C524" s="1">
        <v>45094</v>
      </c>
      <c r="D524" s="1">
        <f>IF(E524="",C524+VLOOKUP(B524,Lembar2!$B$19:$C$24,2,FALSE),'Procurement Dataset'!E524)</f>
        <v>45105</v>
      </c>
      <c r="E524" s="1">
        <v>45105</v>
      </c>
      <c r="F524" t="s">
        <v>802</v>
      </c>
      <c r="G524" t="s">
        <v>813</v>
      </c>
      <c r="H524" s="5">
        <v>734</v>
      </c>
      <c r="I524" s="3">
        <v>92.38</v>
      </c>
      <c r="J524" s="3">
        <v>78.92</v>
      </c>
      <c r="K524" s="5">
        <f t="shared" si="57"/>
        <v>34</v>
      </c>
      <c r="L524">
        <v>34</v>
      </c>
      <c r="M524" t="s">
        <v>805</v>
      </c>
      <c r="N524">
        <f t="shared" si="56"/>
        <v>11</v>
      </c>
      <c r="O524" t="str">
        <f t="shared" si="58"/>
        <v>Valid</v>
      </c>
      <c r="P524" s="1" t="str">
        <f>IF(N524&gt;=(VLOOKUP(B524,Lembar2!$B$19:$C$24,2,FALSE)+7),"Delayed","Ontime")</f>
        <v>Ontime</v>
      </c>
      <c r="Q524" s="3">
        <f t="shared" si="59"/>
        <v>67806.92</v>
      </c>
      <c r="R524" s="3">
        <f t="shared" si="60"/>
        <v>57927.28</v>
      </c>
      <c r="S524" s="3">
        <f t="shared" si="61"/>
        <v>9879.64</v>
      </c>
      <c r="T524">
        <f t="shared" si="62"/>
        <v>1</v>
      </c>
    </row>
    <row r="525" spans="1:20" x14ac:dyDescent="0.25">
      <c r="A525" t="s">
        <v>1328</v>
      </c>
      <c r="B525" t="s">
        <v>790</v>
      </c>
      <c r="C525" s="1">
        <v>45113</v>
      </c>
      <c r="D525" s="1">
        <f>IF(E525="",C525+VLOOKUP(B525,Lembar2!$B$19:$C$24,2,FALSE),'Procurement Dataset'!E525)</f>
        <v>45125</v>
      </c>
      <c r="E525" s="1">
        <v>45125</v>
      </c>
      <c r="F525" t="s">
        <v>791</v>
      </c>
      <c r="G525" t="s">
        <v>796</v>
      </c>
      <c r="H525" s="5">
        <v>69</v>
      </c>
      <c r="I525" s="3">
        <v>107.47</v>
      </c>
      <c r="J525" s="3">
        <v>105.53</v>
      </c>
      <c r="K525" s="5">
        <f t="shared" si="57"/>
        <v>0</v>
      </c>
      <c r="M525" t="s">
        <v>793</v>
      </c>
      <c r="N525">
        <f t="shared" si="56"/>
        <v>12</v>
      </c>
      <c r="O525" t="str">
        <f t="shared" si="58"/>
        <v>Valid</v>
      </c>
      <c r="P525" s="1" t="str">
        <f>IF(N525&gt;=(VLOOKUP(B525,Lembar2!$B$19:$C$24,2,FALSE)+7),"Delayed","Ontime")</f>
        <v>Ontime</v>
      </c>
      <c r="Q525" s="3">
        <f t="shared" si="59"/>
        <v>7415.43</v>
      </c>
      <c r="R525" s="3">
        <f t="shared" si="60"/>
        <v>7281.57</v>
      </c>
      <c r="S525" s="3">
        <f t="shared" si="61"/>
        <v>133.86000000000058</v>
      </c>
      <c r="T525">
        <f t="shared" si="62"/>
        <v>1</v>
      </c>
    </row>
    <row r="526" spans="1:20" x14ac:dyDescent="0.25">
      <c r="A526" t="s">
        <v>1329</v>
      </c>
      <c r="B526" t="s">
        <v>795</v>
      </c>
      <c r="C526" s="1">
        <v>45265</v>
      </c>
      <c r="D526" s="1">
        <f>IF(E526="",C526+VLOOKUP(B526,Lembar2!$B$19:$C$24,2,FALSE),'Procurement Dataset'!E526)</f>
        <v>45271</v>
      </c>
      <c r="E526" s="1">
        <v>45271</v>
      </c>
      <c r="F526" t="s">
        <v>802</v>
      </c>
      <c r="G526" t="s">
        <v>796</v>
      </c>
      <c r="H526" s="5">
        <v>370</v>
      </c>
      <c r="I526" s="3">
        <v>63.9</v>
      </c>
      <c r="J526" s="3">
        <v>55.79</v>
      </c>
      <c r="K526" s="5">
        <f t="shared" si="57"/>
        <v>59</v>
      </c>
      <c r="L526">
        <v>59</v>
      </c>
      <c r="M526" t="s">
        <v>793</v>
      </c>
      <c r="N526">
        <f t="shared" si="56"/>
        <v>6</v>
      </c>
      <c r="O526" t="str">
        <f t="shared" si="58"/>
        <v>Valid</v>
      </c>
      <c r="P526" s="1" t="str">
        <f>IF(N526&gt;=(VLOOKUP(B526,Lembar2!$B$19:$C$24,2,FALSE)+7),"Delayed","Ontime")</f>
        <v>Ontime</v>
      </c>
      <c r="Q526" s="3">
        <f t="shared" si="59"/>
        <v>23643</v>
      </c>
      <c r="R526" s="3">
        <f t="shared" si="60"/>
        <v>20642.3</v>
      </c>
      <c r="S526" s="3">
        <f t="shared" si="61"/>
        <v>3000.7000000000007</v>
      </c>
      <c r="T526">
        <f t="shared" si="62"/>
        <v>1</v>
      </c>
    </row>
    <row r="527" spans="1:20" x14ac:dyDescent="0.25">
      <c r="A527" t="s">
        <v>1330</v>
      </c>
      <c r="B527" t="s">
        <v>795</v>
      </c>
      <c r="C527" s="1">
        <v>45248</v>
      </c>
      <c r="D527" s="1">
        <f>IF(E527="",C527+VLOOKUP(B527,Lembar2!$B$19:$C$24,2,FALSE),'Procurement Dataset'!E527)</f>
        <v>45263</v>
      </c>
      <c r="E527" s="1">
        <v>45263</v>
      </c>
      <c r="F527" t="s">
        <v>799</v>
      </c>
      <c r="G527" t="s">
        <v>796</v>
      </c>
      <c r="H527" s="5">
        <v>1849</v>
      </c>
      <c r="I527" s="3">
        <v>28.25</v>
      </c>
      <c r="J527" s="3">
        <v>27.53</v>
      </c>
      <c r="K527" s="5">
        <f t="shared" si="57"/>
        <v>271</v>
      </c>
      <c r="L527">
        <v>271</v>
      </c>
      <c r="M527" t="s">
        <v>793</v>
      </c>
      <c r="N527">
        <f t="shared" si="56"/>
        <v>15</v>
      </c>
      <c r="O527" t="str">
        <f t="shared" si="58"/>
        <v>Valid</v>
      </c>
      <c r="P527" s="1" t="str">
        <f>IF(N527&gt;=(VLOOKUP(B527,Lembar2!$B$19:$C$24,2,FALSE)+7),"Delayed","Ontime")</f>
        <v>Ontime</v>
      </c>
      <c r="Q527" s="3">
        <f t="shared" si="59"/>
        <v>52234.25</v>
      </c>
      <c r="R527" s="3">
        <f t="shared" si="60"/>
        <v>50902.97</v>
      </c>
      <c r="S527" s="3">
        <f t="shared" si="61"/>
        <v>1331.2799999999988</v>
      </c>
      <c r="T527">
        <f t="shared" si="62"/>
        <v>1</v>
      </c>
    </row>
    <row r="528" spans="1:20" x14ac:dyDescent="0.25">
      <c r="A528" t="s">
        <v>1331</v>
      </c>
      <c r="B528" t="s">
        <v>801</v>
      </c>
      <c r="C528" s="1">
        <v>44763</v>
      </c>
      <c r="D528" s="1">
        <f>IF(E528="",C528+VLOOKUP(B528,Lembar2!$B$19:$C$24,2,FALSE),'Procurement Dataset'!E528)</f>
        <v>44775</v>
      </c>
      <c r="F528" t="s">
        <v>802</v>
      </c>
      <c r="G528" t="s">
        <v>796</v>
      </c>
      <c r="H528" s="5">
        <v>561</v>
      </c>
      <c r="I528" s="3">
        <v>35.54</v>
      </c>
      <c r="J528" s="3">
        <v>30.99</v>
      </c>
      <c r="K528" s="5">
        <f t="shared" si="57"/>
        <v>68</v>
      </c>
      <c r="L528">
        <v>68</v>
      </c>
      <c r="M528" t="s">
        <v>805</v>
      </c>
      <c r="N528" t="str">
        <f t="shared" si="56"/>
        <v/>
      </c>
      <c r="O528" t="str">
        <f t="shared" si="58"/>
        <v>Valid</v>
      </c>
      <c r="P528" s="1" t="str">
        <f>IF(N528&gt;=(VLOOKUP(B528,Lembar2!$B$19:$C$24,2,FALSE)+7),"Delayed","Ontime")</f>
        <v>Delayed</v>
      </c>
      <c r="Q528" s="3">
        <f t="shared" si="59"/>
        <v>19937.939999999999</v>
      </c>
      <c r="R528" s="3">
        <f t="shared" si="60"/>
        <v>17385.39</v>
      </c>
      <c r="S528" s="3">
        <f t="shared" si="61"/>
        <v>2552.5499999999993</v>
      </c>
      <c r="T528">
        <f t="shared" si="62"/>
        <v>0</v>
      </c>
    </row>
    <row r="529" spans="1:20" x14ac:dyDescent="0.25">
      <c r="A529" t="s">
        <v>1332</v>
      </c>
      <c r="B529" t="s">
        <v>798</v>
      </c>
      <c r="C529" s="1">
        <v>44934</v>
      </c>
      <c r="D529" s="1">
        <f>IF(E529="",C529+VLOOKUP(B529,Lembar2!$B$19:$C$24,2,FALSE),'Procurement Dataset'!E529)</f>
        <v>44940</v>
      </c>
      <c r="E529" s="1">
        <v>44940</v>
      </c>
      <c r="F529" t="s">
        <v>817</v>
      </c>
      <c r="G529" t="s">
        <v>796</v>
      </c>
      <c r="H529" s="5">
        <v>449</v>
      </c>
      <c r="I529" s="3">
        <v>12.35</v>
      </c>
      <c r="J529" s="3">
        <v>10.67</v>
      </c>
      <c r="K529" s="5">
        <f t="shared" si="57"/>
        <v>29</v>
      </c>
      <c r="L529">
        <v>29</v>
      </c>
      <c r="M529" t="s">
        <v>793</v>
      </c>
      <c r="N529">
        <f t="shared" si="56"/>
        <v>6</v>
      </c>
      <c r="O529" t="str">
        <f t="shared" si="58"/>
        <v>Valid</v>
      </c>
      <c r="P529" s="1" t="str">
        <f>IF(N529&gt;=(VLOOKUP(B529,Lembar2!$B$19:$C$24,2,FALSE)+7),"Delayed","Ontime")</f>
        <v>Ontime</v>
      </c>
      <c r="Q529" s="3">
        <f t="shared" si="59"/>
        <v>5545.15</v>
      </c>
      <c r="R529" s="3">
        <f t="shared" si="60"/>
        <v>4790.83</v>
      </c>
      <c r="S529" s="3">
        <f t="shared" si="61"/>
        <v>754.31999999999971</v>
      </c>
      <c r="T529">
        <f t="shared" si="62"/>
        <v>1</v>
      </c>
    </row>
    <row r="530" spans="1:20" x14ac:dyDescent="0.25">
      <c r="A530" t="s">
        <v>1333</v>
      </c>
      <c r="B530" t="s">
        <v>801</v>
      </c>
      <c r="C530" s="1">
        <v>45003</v>
      </c>
      <c r="D530" s="1">
        <f>IF(E530="",C530+VLOOKUP(B530,Lembar2!$B$19:$C$24,2,FALSE),'Procurement Dataset'!E530)</f>
        <v>45006</v>
      </c>
      <c r="E530" s="1">
        <v>45006</v>
      </c>
      <c r="F530" t="s">
        <v>791</v>
      </c>
      <c r="G530" t="s">
        <v>796</v>
      </c>
      <c r="H530" s="5">
        <v>703</v>
      </c>
      <c r="I530" s="3">
        <v>98.75</v>
      </c>
      <c r="J530" s="3">
        <v>86.78</v>
      </c>
      <c r="K530" s="5">
        <f t="shared" si="57"/>
        <v>59</v>
      </c>
      <c r="L530">
        <v>59</v>
      </c>
      <c r="M530" t="s">
        <v>793</v>
      </c>
      <c r="N530">
        <f t="shared" si="56"/>
        <v>3</v>
      </c>
      <c r="O530" t="str">
        <f t="shared" si="58"/>
        <v>Valid</v>
      </c>
      <c r="P530" s="1" t="str">
        <f>IF(N530&gt;=(VLOOKUP(B530,Lembar2!$B$19:$C$24,2,FALSE)+7),"Delayed","Ontime")</f>
        <v>Ontime</v>
      </c>
      <c r="Q530" s="3">
        <f t="shared" si="59"/>
        <v>69421.25</v>
      </c>
      <c r="R530" s="3">
        <f t="shared" si="60"/>
        <v>61006.340000000004</v>
      </c>
      <c r="S530" s="3">
        <f t="shared" si="61"/>
        <v>8414.9099999999962</v>
      </c>
      <c r="T530">
        <f t="shared" si="62"/>
        <v>1</v>
      </c>
    </row>
    <row r="531" spans="1:20" x14ac:dyDescent="0.25">
      <c r="A531" t="s">
        <v>1334</v>
      </c>
      <c r="B531" t="s">
        <v>798</v>
      </c>
      <c r="C531" s="1">
        <v>44633</v>
      </c>
      <c r="D531" s="1">
        <f>IF(E531="",C531+VLOOKUP(B531,Lembar2!$B$19:$C$24,2,FALSE),'Procurement Dataset'!E531)</f>
        <v>44648</v>
      </c>
      <c r="E531" s="1">
        <v>44648</v>
      </c>
      <c r="F531" t="s">
        <v>817</v>
      </c>
      <c r="G531" t="s">
        <v>796</v>
      </c>
      <c r="H531" s="5">
        <v>1021</v>
      </c>
      <c r="I531" s="3">
        <v>20.8</v>
      </c>
      <c r="J531" s="3">
        <v>18.23</v>
      </c>
      <c r="K531" s="5">
        <f t="shared" si="57"/>
        <v>37</v>
      </c>
      <c r="L531">
        <v>37</v>
      </c>
      <c r="M531" t="s">
        <v>793</v>
      </c>
      <c r="N531">
        <f t="shared" si="56"/>
        <v>15</v>
      </c>
      <c r="O531" t="str">
        <f t="shared" si="58"/>
        <v>Valid</v>
      </c>
      <c r="P531" s="1" t="str">
        <f>IF(N531&gt;=(VLOOKUP(B531,Lembar2!$B$19:$C$24,2,FALSE)+7),"Delayed","Ontime")</f>
        <v>Ontime</v>
      </c>
      <c r="Q531" s="3">
        <f t="shared" si="59"/>
        <v>21236.799999999999</v>
      </c>
      <c r="R531" s="3">
        <f t="shared" si="60"/>
        <v>18612.830000000002</v>
      </c>
      <c r="S531" s="3">
        <f t="shared" si="61"/>
        <v>2623.9699999999975</v>
      </c>
      <c r="T531">
        <f t="shared" si="62"/>
        <v>1</v>
      </c>
    </row>
    <row r="532" spans="1:20" x14ac:dyDescent="0.25">
      <c r="A532" t="s">
        <v>1335</v>
      </c>
      <c r="B532" t="s">
        <v>801</v>
      </c>
      <c r="C532" s="1">
        <v>45242</v>
      </c>
      <c r="D532" s="1">
        <f>IF(E532="",C532+VLOOKUP(B532,Lembar2!$B$19:$C$24,2,FALSE),'Procurement Dataset'!E532)</f>
        <v>45249</v>
      </c>
      <c r="E532" s="1">
        <v>45249</v>
      </c>
      <c r="F532" t="s">
        <v>791</v>
      </c>
      <c r="G532" t="s">
        <v>796</v>
      </c>
      <c r="H532" s="5">
        <v>1956</v>
      </c>
      <c r="I532" s="3">
        <v>68.69</v>
      </c>
      <c r="J532" s="3">
        <v>65.09</v>
      </c>
      <c r="K532" s="5">
        <f t="shared" si="57"/>
        <v>0</v>
      </c>
      <c r="M532" t="s">
        <v>793</v>
      </c>
      <c r="N532">
        <f t="shared" si="56"/>
        <v>7</v>
      </c>
      <c r="O532" t="str">
        <f t="shared" si="58"/>
        <v>Valid</v>
      </c>
      <c r="P532" s="1" t="str">
        <f>IF(N532&gt;=(VLOOKUP(B532,Lembar2!$B$19:$C$24,2,FALSE)+7),"Delayed","Ontime")</f>
        <v>Ontime</v>
      </c>
      <c r="Q532" s="3">
        <f t="shared" si="59"/>
        <v>134357.63999999998</v>
      </c>
      <c r="R532" s="3">
        <f t="shared" si="60"/>
        <v>127316.04000000001</v>
      </c>
      <c r="S532" s="3">
        <f t="shared" si="61"/>
        <v>7041.5999999999767</v>
      </c>
      <c r="T532">
        <f t="shared" si="62"/>
        <v>1</v>
      </c>
    </row>
    <row r="533" spans="1:20" x14ac:dyDescent="0.25">
      <c r="A533" t="s">
        <v>1336</v>
      </c>
      <c r="B533" t="s">
        <v>795</v>
      </c>
      <c r="C533" s="1">
        <v>44900</v>
      </c>
      <c r="D533" s="1">
        <f>IF(E533="",C533+VLOOKUP(B533,Lembar2!$B$19:$C$24,2,FALSE),'Procurement Dataset'!E533)</f>
        <v>44907</v>
      </c>
      <c r="E533" s="1">
        <v>44907</v>
      </c>
      <c r="F533" t="s">
        <v>791</v>
      </c>
      <c r="G533" t="s">
        <v>811</v>
      </c>
      <c r="H533" s="5">
        <v>520</v>
      </c>
      <c r="I533" s="3">
        <v>36.57</v>
      </c>
      <c r="J533" s="3">
        <v>34.78</v>
      </c>
      <c r="K533" s="5">
        <f t="shared" si="57"/>
        <v>67</v>
      </c>
      <c r="L533">
        <v>67</v>
      </c>
      <c r="M533" t="s">
        <v>805</v>
      </c>
      <c r="N533">
        <f t="shared" si="56"/>
        <v>7</v>
      </c>
      <c r="O533" t="str">
        <f t="shared" si="58"/>
        <v>Valid</v>
      </c>
      <c r="P533" s="1" t="str">
        <f>IF(N533&gt;=(VLOOKUP(B533,Lembar2!$B$19:$C$24,2,FALSE)+7),"Delayed","Ontime")</f>
        <v>Ontime</v>
      </c>
      <c r="Q533" s="3">
        <f t="shared" si="59"/>
        <v>19016.400000000001</v>
      </c>
      <c r="R533" s="3">
        <f t="shared" si="60"/>
        <v>18085.600000000002</v>
      </c>
      <c r="S533" s="3">
        <f t="shared" si="61"/>
        <v>930.79999999999927</v>
      </c>
      <c r="T533">
        <f t="shared" si="62"/>
        <v>1</v>
      </c>
    </row>
    <row r="534" spans="1:20" x14ac:dyDescent="0.25">
      <c r="A534" t="s">
        <v>1337</v>
      </c>
      <c r="B534" t="s">
        <v>795</v>
      </c>
      <c r="C534" s="1">
        <v>45200</v>
      </c>
      <c r="D534" s="1">
        <f>IF(E534="",C534+VLOOKUP(B534,Lembar2!$B$19:$C$24,2,FALSE),'Procurement Dataset'!E534)</f>
        <v>45211</v>
      </c>
      <c r="E534" s="1">
        <v>45211</v>
      </c>
      <c r="F534" t="s">
        <v>799</v>
      </c>
      <c r="G534" t="s">
        <v>796</v>
      </c>
      <c r="H534" s="5">
        <v>1216</v>
      </c>
      <c r="I534" s="3">
        <v>66.16</v>
      </c>
      <c r="J534" s="3">
        <v>63</v>
      </c>
      <c r="K534" s="5">
        <f t="shared" si="57"/>
        <v>179</v>
      </c>
      <c r="L534">
        <v>179</v>
      </c>
      <c r="M534" t="s">
        <v>805</v>
      </c>
      <c r="N534">
        <f t="shared" si="56"/>
        <v>11</v>
      </c>
      <c r="O534" t="str">
        <f t="shared" si="58"/>
        <v>Valid</v>
      </c>
      <c r="P534" s="1" t="str">
        <f>IF(N534&gt;=(VLOOKUP(B534,Lembar2!$B$19:$C$24,2,FALSE)+7),"Delayed","Ontime")</f>
        <v>Ontime</v>
      </c>
      <c r="Q534" s="3">
        <f t="shared" si="59"/>
        <v>80450.559999999998</v>
      </c>
      <c r="R534" s="3">
        <f t="shared" si="60"/>
        <v>76608</v>
      </c>
      <c r="S534" s="3">
        <f t="shared" si="61"/>
        <v>3842.5599999999977</v>
      </c>
      <c r="T534">
        <f t="shared" si="62"/>
        <v>1</v>
      </c>
    </row>
    <row r="535" spans="1:20" x14ac:dyDescent="0.25">
      <c r="A535" t="s">
        <v>1338</v>
      </c>
      <c r="B535" t="s">
        <v>790</v>
      </c>
      <c r="C535" s="1">
        <v>44883</v>
      </c>
      <c r="D535" s="1">
        <f>IF(E535="",C535+VLOOKUP(B535,Lembar2!$B$19:$C$24,2,FALSE),'Procurement Dataset'!E535)</f>
        <v>44894</v>
      </c>
      <c r="F535" t="s">
        <v>804</v>
      </c>
      <c r="G535" t="s">
        <v>796</v>
      </c>
      <c r="H535" s="5">
        <v>1165</v>
      </c>
      <c r="I535" s="3">
        <v>72.06</v>
      </c>
      <c r="J535" s="3">
        <v>63.93</v>
      </c>
      <c r="K535" s="5">
        <f t="shared" si="57"/>
        <v>0</v>
      </c>
      <c r="M535" t="s">
        <v>793</v>
      </c>
      <c r="N535" t="str">
        <f t="shared" si="56"/>
        <v/>
      </c>
      <c r="O535" t="str">
        <f t="shared" si="58"/>
        <v>Valid</v>
      </c>
      <c r="P535" s="1" t="str">
        <f>IF(N535&gt;=(VLOOKUP(B535,Lembar2!$B$19:$C$24,2,FALSE)+7),"Delayed","Ontime")</f>
        <v>Delayed</v>
      </c>
      <c r="Q535" s="3">
        <f t="shared" si="59"/>
        <v>83949.900000000009</v>
      </c>
      <c r="R535" s="3">
        <f t="shared" si="60"/>
        <v>74478.45</v>
      </c>
      <c r="S535" s="3">
        <f t="shared" si="61"/>
        <v>9471.4500000000116</v>
      </c>
      <c r="T535">
        <f t="shared" si="62"/>
        <v>0</v>
      </c>
    </row>
    <row r="536" spans="1:20" x14ac:dyDescent="0.25">
      <c r="A536" t="s">
        <v>1339</v>
      </c>
      <c r="B536" t="s">
        <v>795</v>
      </c>
      <c r="C536" s="1">
        <v>45241</v>
      </c>
      <c r="D536" s="1">
        <f>IF(E536="",C536+VLOOKUP(B536,Lembar2!$B$19:$C$24,2,FALSE),'Procurement Dataset'!E536)</f>
        <v>45259</v>
      </c>
      <c r="E536" s="1">
        <v>45259</v>
      </c>
      <c r="F536" t="s">
        <v>802</v>
      </c>
      <c r="G536" t="s">
        <v>813</v>
      </c>
      <c r="H536" s="5">
        <v>1427</v>
      </c>
      <c r="I536" s="3">
        <v>93.99</v>
      </c>
      <c r="J536" s="3">
        <v>83.6</v>
      </c>
      <c r="K536" s="5">
        <f t="shared" si="57"/>
        <v>213</v>
      </c>
      <c r="L536">
        <v>213</v>
      </c>
      <c r="M536" t="s">
        <v>793</v>
      </c>
      <c r="N536">
        <f t="shared" si="56"/>
        <v>18</v>
      </c>
      <c r="O536" t="str">
        <f t="shared" si="58"/>
        <v>Valid</v>
      </c>
      <c r="P536" s="1" t="str">
        <f>IF(N536&gt;=(VLOOKUP(B536,Lembar2!$B$19:$C$24,2,FALSE)+7),"Delayed","Ontime")</f>
        <v>Delayed</v>
      </c>
      <c r="Q536" s="3">
        <f t="shared" si="59"/>
        <v>134123.72999999998</v>
      </c>
      <c r="R536" s="3">
        <f t="shared" si="60"/>
        <v>119297.2</v>
      </c>
      <c r="S536" s="3">
        <f t="shared" si="61"/>
        <v>14826.529999999984</v>
      </c>
      <c r="T536">
        <f t="shared" si="62"/>
        <v>0</v>
      </c>
    </row>
    <row r="537" spans="1:20" x14ac:dyDescent="0.25">
      <c r="A537" t="s">
        <v>1340</v>
      </c>
      <c r="B537" t="s">
        <v>807</v>
      </c>
      <c r="C537" s="1">
        <v>44689</v>
      </c>
      <c r="D537" s="1">
        <f>IF(E537="",C537+VLOOKUP(B537,Lembar2!$B$19:$C$24,2,FALSE),'Procurement Dataset'!E537)</f>
        <v>44691</v>
      </c>
      <c r="E537" s="1">
        <v>44691</v>
      </c>
      <c r="F537" t="s">
        <v>817</v>
      </c>
      <c r="G537" t="s">
        <v>796</v>
      </c>
      <c r="H537" s="5">
        <v>883</v>
      </c>
      <c r="I537" s="3">
        <v>29.15</v>
      </c>
      <c r="J537" s="3">
        <v>25.75</v>
      </c>
      <c r="K537" s="5">
        <f t="shared" si="57"/>
        <v>14</v>
      </c>
      <c r="L537">
        <v>14</v>
      </c>
      <c r="M537" t="s">
        <v>793</v>
      </c>
      <c r="N537">
        <f t="shared" si="56"/>
        <v>2</v>
      </c>
      <c r="O537" t="str">
        <f t="shared" si="58"/>
        <v>Valid</v>
      </c>
      <c r="P537" s="1" t="str">
        <f>IF(N537&gt;=(VLOOKUP(B537,Lembar2!$B$19:$C$24,2,FALSE)+7),"Delayed","Ontime")</f>
        <v>Ontime</v>
      </c>
      <c r="Q537" s="3">
        <f t="shared" si="59"/>
        <v>25739.449999999997</v>
      </c>
      <c r="R537" s="3">
        <f t="shared" si="60"/>
        <v>22737.25</v>
      </c>
      <c r="S537" s="3">
        <f t="shared" si="61"/>
        <v>3002.1999999999971</v>
      </c>
      <c r="T537">
        <f t="shared" si="62"/>
        <v>1</v>
      </c>
    </row>
    <row r="538" spans="1:20" x14ac:dyDescent="0.25">
      <c r="A538" t="s">
        <v>1341</v>
      </c>
      <c r="B538" t="s">
        <v>795</v>
      </c>
      <c r="C538" s="1">
        <v>44869</v>
      </c>
      <c r="D538" s="1">
        <f>IF(E538="",C538+VLOOKUP(B538,Lembar2!$B$19:$C$24,2,FALSE),'Procurement Dataset'!E538)</f>
        <v>44876</v>
      </c>
      <c r="E538" s="1">
        <v>44876</v>
      </c>
      <c r="F538" t="s">
        <v>802</v>
      </c>
      <c r="G538" t="s">
        <v>811</v>
      </c>
      <c r="H538" s="5">
        <v>1873</v>
      </c>
      <c r="I538" s="3">
        <v>11.54</v>
      </c>
      <c r="J538" s="3">
        <v>9.89</v>
      </c>
      <c r="K538" s="5">
        <f t="shared" si="57"/>
        <v>284</v>
      </c>
      <c r="L538">
        <v>284</v>
      </c>
      <c r="M538" t="s">
        <v>805</v>
      </c>
      <c r="N538">
        <f t="shared" si="56"/>
        <v>7</v>
      </c>
      <c r="O538" t="str">
        <f t="shared" si="58"/>
        <v>Valid</v>
      </c>
      <c r="P538" s="1" t="str">
        <f>IF(N538&gt;=(VLOOKUP(B538,Lembar2!$B$19:$C$24,2,FALSE)+7),"Delayed","Ontime")</f>
        <v>Ontime</v>
      </c>
      <c r="Q538" s="3">
        <f t="shared" si="59"/>
        <v>21614.42</v>
      </c>
      <c r="R538" s="3">
        <f t="shared" si="60"/>
        <v>18523.97</v>
      </c>
      <c r="S538" s="3">
        <f t="shared" si="61"/>
        <v>3090.4499999999971</v>
      </c>
      <c r="T538">
        <f t="shared" si="62"/>
        <v>1</v>
      </c>
    </row>
    <row r="539" spans="1:20" x14ac:dyDescent="0.25">
      <c r="A539" t="s">
        <v>1342</v>
      </c>
      <c r="B539" t="s">
        <v>807</v>
      </c>
      <c r="C539" s="1">
        <v>45081</v>
      </c>
      <c r="D539" s="1">
        <f>IF(E539="",C539+VLOOKUP(B539,Lembar2!$B$19:$C$24,2,FALSE),'Procurement Dataset'!E539)</f>
        <v>45083</v>
      </c>
      <c r="E539" s="1">
        <v>45083</v>
      </c>
      <c r="F539" t="s">
        <v>791</v>
      </c>
      <c r="G539" t="s">
        <v>796</v>
      </c>
      <c r="H539" s="5">
        <v>776</v>
      </c>
      <c r="I539" s="3">
        <v>24.22</v>
      </c>
      <c r="J539" s="3">
        <v>22.53</v>
      </c>
      <c r="K539" s="5">
        <f t="shared" si="57"/>
        <v>27</v>
      </c>
      <c r="L539">
        <v>27</v>
      </c>
      <c r="M539" t="s">
        <v>793</v>
      </c>
      <c r="N539">
        <f t="shared" si="56"/>
        <v>2</v>
      </c>
      <c r="O539" t="str">
        <f t="shared" si="58"/>
        <v>Valid</v>
      </c>
      <c r="P539" s="1" t="str">
        <f>IF(N539&gt;=(VLOOKUP(B539,Lembar2!$B$19:$C$24,2,FALSE)+7),"Delayed","Ontime")</f>
        <v>Ontime</v>
      </c>
      <c r="Q539" s="3">
        <f t="shared" si="59"/>
        <v>18794.719999999998</v>
      </c>
      <c r="R539" s="3">
        <f t="shared" si="60"/>
        <v>17483.280000000002</v>
      </c>
      <c r="S539" s="3">
        <f t="shared" si="61"/>
        <v>1311.4399999999951</v>
      </c>
      <c r="T539">
        <f t="shared" si="62"/>
        <v>1</v>
      </c>
    </row>
    <row r="540" spans="1:20" x14ac:dyDescent="0.25">
      <c r="A540" t="s">
        <v>1343</v>
      </c>
      <c r="B540" t="s">
        <v>795</v>
      </c>
      <c r="C540" s="1">
        <v>44878</v>
      </c>
      <c r="D540" s="1">
        <f>IF(E540="",C540+VLOOKUP(B540,Lembar2!$B$19:$C$24,2,FALSE),'Procurement Dataset'!E540)</f>
        <v>44889</v>
      </c>
      <c r="E540" s="1">
        <v>44889</v>
      </c>
      <c r="F540" t="s">
        <v>817</v>
      </c>
      <c r="G540" t="s">
        <v>796</v>
      </c>
      <c r="H540" s="5">
        <v>903</v>
      </c>
      <c r="I540" s="3">
        <v>95.55</v>
      </c>
      <c r="J540" s="3">
        <v>92.45</v>
      </c>
      <c r="K540" s="5">
        <f t="shared" si="57"/>
        <v>149</v>
      </c>
      <c r="L540">
        <v>149</v>
      </c>
      <c r="M540" t="s">
        <v>805</v>
      </c>
      <c r="N540">
        <f t="shared" si="56"/>
        <v>11</v>
      </c>
      <c r="O540" t="str">
        <f t="shared" si="58"/>
        <v>Valid</v>
      </c>
      <c r="P540" s="1" t="str">
        <f>IF(N540&gt;=(VLOOKUP(B540,Lembar2!$B$19:$C$24,2,FALSE)+7),"Delayed","Ontime")</f>
        <v>Ontime</v>
      </c>
      <c r="Q540" s="3">
        <f t="shared" si="59"/>
        <v>86281.65</v>
      </c>
      <c r="R540" s="3">
        <f t="shared" si="60"/>
        <v>83482.350000000006</v>
      </c>
      <c r="S540" s="3">
        <f t="shared" si="61"/>
        <v>2799.2999999999884</v>
      </c>
      <c r="T540">
        <f t="shared" si="62"/>
        <v>1</v>
      </c>
    </row>
    <row r="541" spans="1:20" x14ac:dyDescent="0.25">
      <c r="A541" t="s">
        <v>1344</v>
      </c>
      <c r="B541" t="s">
        <v>807</v>
      </c>
      <c r="C541" s="1">
        <v>45244</v>
      </c>
      <c r="D541" s="1">
        <f>IF(E541="",C541+VLOOKUP(B541,Lembar2!$B$19:$C$24,2,FALSE),'Procurement Dataset'!E541)</f>
        <v>45256</v>
      </c>
      <c r="E541" s="1">
        <v>45256</v>
      </c>
      <c r="F541" t="s">
        <v>817</v>
      </c>
      <c r="G541" t="s">
        <v>796</v>
      </c>
      <c r="H541" s="5">
        <v>100</v>
      </c>
      <c r="I541" s="3">
        <v>98.4</v>
      </c>
      <c r="J541" s="3">
        <v>85.76</v>
      </c>
      <c r="K541" s="5">
        <f t="shared" si="57"/>
        <v>3</v>
      </c>
      <c r="L541">
        <v>3</v>
      </c>
      <c r="M541" t="s">
        <v>793</v>
      </c>
      <c r="N541">
        <f t="shared" si="56"/>
        <v>12</v>
      </c>
      <c r="O541" t="str">
        <f t="shared" si="58"/>
        <v>Valid</v>
      </c>
      <c r="P541" s="1" t="str">
        <f>IF(N541&gt;=(VLOOKUP(B541,Lembar2!$B$19:$C$24,2,FALSE)+7),"Delayed","Ontime")</f>
        <v>Ontime</v>
      </c>
      <c r="Q541" s="3">
        <f t="shared" si="59"/>
        <v>9840</v>
      </c>
      <c r="R541" s="3">
        <f t="shared" si="60"/>
        <v>8576</v>
      </c>
      <c r="S541" s="3">
        <f t="shared" si="61"/>
        <v>1264</v>
      </c>
      <c r="T541">
        <f t="shared" si="62"/>
        <v>1</v>
      </c>
    </row>
    <row r="542" spans="1:20" x14ac:dyDescent="0.25">
      <c r="A542" t="s">
        <v>1345</v>
      </c>
      <c r="B542" t="s">
        <v>807</v>
      </c>
      <c r="C542" s="1">
        <v>44980</v>
      </c>
      <c r="D542" s="1">
        <f>IF(E542="",C542+VLOOKUP(B542,Lembar2!$B$19:$C$24,2,FALSE),'Procurement Dataset'!E542)</f>
        <v>44993</v>
      </c>
      <c r="E542" s="1">
        <v>44993</v>
      </c>
      <c r="F542" t="s">
        <v>791</v>
      </c>
      <c r="G542" t="s">
        <v>796</v>
      </c>
      <c r="H542" s="5">
        <v>1738</v>
      </c>
      <c r="I542" s="3">
        <v>67.91</v>
      </c>
      <c r="J542" s="3">
        <v>61.15</v>
      </c>
      <c r="K542" s="5">
        <f t="shared" si="57"/>
        <v>0</v>
      </c>
      <c r="M542" t="s">
        <v>793</v>
      </c>
      <c r="N542">
        <f t="shared" si="56"/>
        <v>13</v>
      </c>
      <c r="O542" t="str">
        <f t="shared" si="58"/>
        <v>Valid</v>
      </c>
      <c r="P542" s="1" t="str">
        <f>IF(N542&gt;=(VLOOKUP(B542,Lembar2!$B$19:$C$24,2,FALSE)+7),"Delayed","Ontime")</f>
        <v>Ontime</v>
      </c>
      <c r="Q542" s="3">
        <f t="shared" si="59"/>
        <v>118027.57999999999</v>
      </c>
      <c r="R542" s="3">
        <f t="shared" si="60"/>
        <v>106278.7</v>
      </c>
      <c r="S542" s="3">
        <f t="shared" si="61"/>
        <v>11748.87999999999</v>
      </c>
      <c r="T542">
        <f t="shared" si="62"/>
        <v>1</v>
      </c>
    </row>
    <row r="543" spans="1:20" x14ac:dyDescent="0.25">
      <c r="A543" t="s">
        <v>1346</v>
      </c>
      <c r="B543" t="s">
        <v>795</v>
      </c>
      <c r="C543" s="1">
        <v>44896</v>
      </c>
      <c r="D543" s="1">
        <f>IF(E543="",C543+VLOOKUP(B543,Lembar2!$B$19:$C$24,2,FALSE),'Procurement Dataset'!E543)</f>
        <v>44909</v>
      </c>
      <c r="E543" s="1">
        <v>44909</v>
      </c>
      <c r="F543" t="s">
        <v>802</v>
      </c>
      <c r="G543" t="s">
        <v>796</v>
      </c>
      <c r="H543" s="5">
        <v>1771</v>
      </c>
      <c r="I543" s="3">
        <v>67.569999999999993</v>
      </c>
      <c r="J543" s="3">
        <v>61.48</v>
      </c>
      <c r="K543" s="5">
        <f t="shared" si="57"/>
        <v>280</v>
      </c>
      <c r="L543">
        <v>280</v>
      </c>
      <c r="M543" t="s">
        <v>805</v>
      </c>
      <c r="N543">
        <f t="shared" si="56"/>
        <v>13</v>
      </c>
      <c r="O543" t="str">
        <f t="shared" si="58"/>
        <v>Valid</v>
      </c>
      <c r="P543" s="1" t="str">
        <f>IF(N543&gt;=(VLOOKUP(B543,Lembar2!$B$19:$C$24,2,FALSE)+7),"Delayed","Ontime")</f>
        <v>Ontime</v>
      </c>
      <c r="Q543" s="3">
        <f t="shared" si="59"/>
        <v>119666.46999999999</v>
      </c>
      <c r="R543" s="3">
        <f t="shared" si="60"/>
        <v>108881.07999999999</v>
      </c>
      <c r="S543" s="3">
        <f t="shared" si="61"/>
        <v>10785.39</v>
      </c>
      <c r="T543">
        <f t="shared" si="62"/>
        <v>1</v>
      </c>
    </row>
    <row r="544" spans="1:20" x14ac:dyDescent="0.25">
      <c r="A544" t="s">
        <v>1347</v>
      </c>
      <c r="B544" t="s">
        <v>807</v>
      </c>
      <c r="C544" s="1">
        <v>44974</v>
      </c>
      <c r="D544" s="1">
        <f>IF(E544="",C544+VLOOKUP(B544,Lembar2!$B$19:$C$24,2,FALSE),'Procurement Dataset'!E544)</f>
        <v>44980</v>
      </c>
      <c r="E544" s="1">
        <v>44980</v>
      </c>
      <c r="F544" t="s">
        <v>817</v>
      </c>
      <c r="G544" t="s">
        <v>796</v>
      </c>
      <c r="H544" s="5">
        <v>624</v>
      </c>
      <c r="I544" s="3">
        <v>74.39</v>
      </c>
      <c r="J544" s="3">
        <v>66.3</v>
      </c>
      <c r="K544" s="5">
        <f t="shared" si="57"/>
        <v>18</v>
      </c>
      <c r="L544">
        <v>18</v>
      </c>
      <c r="M544" t="s">
        <v>805</v>
      </c>
      <c r="N544">
        <f t="shared" si="56"/>
        <v>6</v>
      </c>
      <c r="O544" t="str">
        <f t="shared" si="58"/>
        <v>Valid</v>
      </c>
      <c r="P544" s="1" t="str">
        <f>IF(N544&gt;=(VLOOKUP(B544,Lembar2!$B$19:$C$24,2,FALSE)+7),"Delayed","Ontime")</f>
        <v>Ontime</v>
      </c>
      <c r="Q544" s="3">
        <f t="shared" si="59"/>
        <v>46419.360000000001</v>
      </c>
      <c r="R544" s="3">
        <f t="shared" si="60"/>
        <v>41371.199999999997</v>
      </c>
      <c r="S544" s="3">
        <f t="shared" si="61"/>
        <v>5048.1600000000035</v>
      </c>
      <c r="T544">
        <f t="shared" si="62"/>
        <v>1</v>
      </c>
    </row>
    <row r="545" spans="1:20" x14ac:dyDescent="0.25">
      <c r="A545" t="s">
        <v>1348</v>
      </c>
      <c r="B545" t="s">
        <v>790</v>
      </c>
      <c r="C545" s="1">
        <v>45275</v>
      </c>
      <c r="D545" s="1">
        <f>IF(E545="",C545+VLOOKUP(B545,Lembar2!$B$19:$C$24,2,FALSE),'Procurement Dataset'!E545)</f>
        <v>45291</v>
      </c>
      <c r="E545" s="1">
        <v>45291</v>
      </c>
      <c r="F545" t="s">
        <v>802</v>
      </c>
      <c r="G545" t="s">
        <v>811</v>
      </c>
      <c r="H545" s="5">
        <v>1263</v>
      </c>
      <c r="I545" s="3">
        <v>28.75</v>
      </c>
      <c r="J545" s="3">
        <v>27.1</v>
      </c>
      <c r="K545" s="5">
        <f t="shared" si="57"/>
        <v>26</v>
      </c>
      <c r="L545">
        <v>26</v>
      </c>
      <c r="M545" t="s">
        <v>793</v>
      </c>
      <c r="N545">
        <f t="shared" si="56"/>
        <v>16</v>
      </c>
      <c r="O545" t="str">
        <f t="shared" si="58"/>
        <v>Valid</v>
      </c>
      <c r="P545" s="1" t="str">
        <f>IF(N545&gt;=(VLOOKUP(B545,Lembar2!$B$19:$C$24,2,FALSE)+7),"Delayed","Ontime")</f>
        <v>Ontime</v>
      </c>
      <c r="Q545" s="3">
        <f t="shared" si="59"/>
        <v>36311.25</v>
      </c>
      <c r="R545" s="3">
        <f t="shared" si="60"/>
        <v>34227.300000000003</v>
      </c>
      <c r="S545" s="3">
        <f t="shared" si="61"/>
        <v>2083.9499999999971</v>
      </c>
      <c r="T545">
        <f t="shared" si="62"/>
        <v>1</v>
      </c>
    </row>
    <row r="546" spans="1:20" x14ac:dyDescent="0.25">
      <c r="A546" t="s">
        <v>1349</v>
      </c>
      <c r="B546" t="s">
        <v>798</v>
      </c>
      <c r="C546" s="1">
        <v>44864</v>
      </c>
      <c r="D546" s="1">
        <f>IF(E546="",C546+VLOOKUP(B546,Lembar2!$B$19:$C$24,2,FALSE),'Procurement Dataset'!E546)</f>
        <v>44881</v>
      </c>
      <c r="E546" s="1">
        <v>44881</v>
      </c>
      <c r="F546" t="s">
        <v>817</v>
      </c>
      <c r="G546" t="s">
        <v>792</v>
      </c>
      <c r="H546" s="5">
        <v>1198</v>
      </c>
      <c r="I546" s="3">
        <v>96.45</v>
      </c>
      <c r="J546" s="3">
        <v>90.09</v>
      </c>
      <c r="K546" s="5">
        <f t="shared" si="57"/>
        <v>0</v>
      </c>
      <c r="M546" t="s">
        <v>793</v>
      </c>
      <c r="N546">
        <f t="shared" si="56"/>
        <v>17</v>
      </c>
      <c r="O546" t="str">
        <f t="shared" si="58"/>
        <v>Valid</v>
      </c>
      <c r="P546" s="1" t="str">
        <f>IF(N546&gt;=(VLOOKUP(B546,Lembar2!$B$19:$C$24,2,FALSE)+7),"Delayed","Ontime")</f>
        <v>Delayed</v>
      </c>
      <c r="Q546" s="3">
        <f t="shared" si="59"/>
        <v>115547.1</v>
      </c>
      <c r="R546" s="3">
        <f t="shared" si="60"/>
        <v>107927.82</v>
      </c>
      <c r="S546" s="3">
        <f t="shared" si="61"/>
        <v>7619.2799999999988</v>
      </c>
      <c r="T546">
        <f t="shared" si="62"/>
        <v>0</v>
      </c>
    </row>
    <row r="547" spans="1:20" x14ac:dyDescent="0.25">
      <c r="A547" t="s">
        <v>1350</v>
      </c>
      <c r="B547" t="s">
        <v>807</v>
      </c>
      <c r="C547" s="1">
        <v>45129</v>
      </c>
      <c r="D547" s="1">
        <f>IF(E547="",C547+VLOOKUP(B547,Lembar2!$B$19:$C$24,2,FALSE),'Procurement Dataset'!E547)</f>
        <v>45132</v>
      </c>
      <c r="E547" s="1">
        <v>45132</v>
      </c>
      <c r="F547" t="s">
        <v>804</v>
      </c>
      <c r="G547" t="s">
        <v>796</v>
      </c>
      <c r="H547" s="5">
        <v>199</v>
      </c>
      <c r="I547" s="3">
        <v>51.98</v>
      </c>
      <c r="J547" s="3">
        <v>45.64</v>
      </c>
      <c r="K547" s="5">
        <f t="shared" si="57"/>
        <v>0</v>
      </c>
      <c r="M547" t="s">
        <v>805</v>
      </c>
      <c r="N547">
        <f t="shared" si="56"/>
        <v>3</v>
      </c>
      <c r="O547" t="str">
        <f t="shared" si="58"/>
        <v>Valid</v>
      </c>
      <c r="P547" s="1" t="str">
        <f>IF(N547&gt;=(VLOOKUP(B547,Lembar2!$B$19:$C$24,2,FALSE)+7),"Delayed","Ontime")</f>
        <v>Ontime</v>
      </c>
      <c r="Q547" s="3">
        <f t="shared" si="59"/>
        <v>10344.019999999999</v>
      </c>
      <c r="R547" s="3">
        <f t="shared" si="60"/>
        <v>9082.36</v>
      </c>
      <c r="S547" s="3">
        <f t="shared" si="61"/>
        <v>1261.659999999998</v>
      </c>
      <c r="T547">
        <f t="shared" si="62"/>
        <v>1</v>
      </c>
    </row>
    <row r="548" spans="1:20" x14ac:dyDescent="0.25">
      <c r="A548" t="s">
        <v>1351</v>
      </c>
      <c r="B548" t="s">
        <v>807</v>
      </c>
      <c r="C548" s="1">
        <v>44692</v>
      </c>
      <c r="D548" s="1">
        <f>IF(E548="",C548+VLOOKUP(B548,Lembar2!$B$19:$C$24,2,FALSE),'Procurement Dataset'!E548)</f>
        <v>44695</v>
      </c>
      <c r="E548" s="1">
        <v>44695</v>
      </c>
      <c r="F548" t="s">
        <v>799</v>
      </c>
      <c r="G548" t="s">
        <v>813</v>
      </c>
      <c r="H548" s="5">
        <v>363</v>
      </c>
      <c r="I548" s="3">
        <v>45.37</v>
      </c>
      <c r="J548" s="3">
        <v>38.729999999999997</v>
      </c>
      <c r="K548" s="5">
        <f t="shared" si="57"/>
        <v>0</v>
      </c>
      <c r="M548" t="s">
        <v>793</v>
      </c>
      <c r="N548">
        <f t="shared" si="56"/>
        <v>3</v>
      </c>
      <c r="O548" t="str">
        <f t="shared" si="58"/>
        <v>Valid</v>
      </c>
      <c r="P548" s="1" t="str">
        <f>IF(N548&gt;=(VLOOKUP(B548,Lembar2!$B$19:$C$24,2,FALSE)+7),"Delayed","Ontime")</f>
        <v>Ontime</v>
      </c>
      <c r="Q548" s="3">
        <f t="shared" si="59"/>
        <v>16469.309999999998</v>
      </c>
      <c r="R548" s="3">
        <f t="shared" si="60"/>
        <v>14058.989999999998</v>
      </c>
      <c r="S548" s="3">
        <f t="shared" si="61"/>
        <v>2410.3199999999997</v>
      </c>
      <c r="T548">
        <f t="shared" si="62"/>
        <v>1</v>
      </c>
    </row>
    <row r="549" spans="1:20" x14ac:dyDescent="0.25">
      <c r="A549" t="s">
        <v>1352</v>
      </c>
      <c r="B549" t="s">
        <v>790</v>
      </c>
      <c r="C549" s="1">
        <v>44758</v>
      </c>
      <c r="D549" s="1">
        <f>IF(E549="",C549+VLOOKUP(B549,Lembar2!$B$19:$C$24,2,FALSE),'Procurement Dataset'!E549)</f>
        <v>44764</v>
      </c>
      <c r="E549" s="1">
        <v>44764</v>
      </c>
      <c r="F549" t="s">
        <v>791</v>
      </c>
      <c r="G549" t="s">
        <v>796</v>
      </c>
      <c r="H549" s="5">
        <v>619</v>
      </c>
      <c r="I549" s="3">
        <v>58.4</v>
      </c>
      <c r="J549" s="3">
        <v>51.04</v>
      </c>
      <c r="K549" s="5">
        <f t="shared" si="57"/>
        <v>0</v>
      </c>
      <c r="M549" t="s">
        <v>793</v>
      </c>
      <c r="N549">
        <f t="shared" si="56"/>
        <v>6</v>
      </c>
      <c r="O549" t="str">
        <f t="shared" si="58"/>
        <v>Valid</v>
      </c>
      <c r="P549" s="1" t="str">
        <f>IF(N549&gt;=(VLOOKUP(B549,Lembar2!$B$19:$C$24,2,FALSE)+7),"Delayed","Ontime")</f>
        <v>Ontime</v>
      </c>
      <c r="Q549" s="3">
        <f t="shared" si="59"/>
        <v>36149.599999999999</v>
      </c>
      <c r="R549" s="3">
        <f t="shared" si="60"/>
        <v>31593.759999999998</v>
      </c>
      <c r="S549" s="3">
        <f t="shared" si="61"/>
        <v>4555.84</v>
      </c>
      <c r="T549">
        <f t="shared" si="62"/>
        <v>1</v>
      </c>
    </row>
    <row r="550" spans="1:20" x14ac:dyDescent="0.25">
      <c r="A550" t="s">
        <v>1353</v>
      </c>
      <c r="B550" t="s">
        <v>790</v>
      </c>
      <c r="C550" s="1">
        <v>44992</v>
      </c>
      <c r="D550" s="1">
        <f>IF(E550="",C550+VLOOKUP(B550,Lembar2!$B$19:$C$24,2,FALSE),'Procurement Dataset'!E550)</f>
        <v>45003</v>
      </c>
      <c r="E550" s="1">
        <v>45003</v>
      </c>
      <c r="F550" t="s">
        <v>799</v>
      </c>
      <c r="G550" t="s">
        <v>796</v>
      </c>
      <c r="H550" s="5">
        <v>1415</v>
      </c>
      <c r="I550" s="3">
        <v>15.22</v>
      </c>
      <c r="J550" s="3">
        <v>13.56</v>
      </c>
      <c r="K550" s="5">
        <f t="shared" si="57"/>
        <v>30</v>
      </c>
      <c r="L550">
        <v>30</v>
      </c>
      <c r="M550" t="s">
        <v>793</v>
      </c>
      <c r="N550">
        <f t="shared" si="56"/>
        <v>11</v>
      </c>
      <c r="O550" t="str">
        <f t="shared" si="58"/>
        <v>Valid</v>
      </c>
      <c r="P550" s="1" t="str">
        <f>IF(N550&gt;=(VLOOKUP(B550,Lembar2!$B$19:$C$24,2,FALSE)+7),"Delayed","Ontime")</f>
        <v>Ontime</v>
      </c>
      <c r="Q550" s="3">
        <f t="shared" si="59"/>
        <v>21536.3</v>
      </c>
      <c r="R550" s="3">
        <f t="shared" si="60"/>
        <v>19187.400000000001</v>
      </c>
      <c r="S550" s="3">
        <f t="shared" si="61"/>
        <v>2348.8999999999978</v>
      </c>
      <c r="T550">
        <f t="shared" si="62"/>
        <v>1</v>
      </c>
    </row>
    <row r="551" spans="1:20" x14ac:dyDescent="0.25">
      <c r="A551" t="s">
        <v>1354</v>
      </c>
      <c r="B551" t="s">
        <v>801</v>
      </c>
      <c r="C551" s="1">
        <v>45242</v>
      </c>
      <c r="D551" s="1">
        <f>IF(E551="",C551+VLOOKUP(B551,Lembar2!$B$19:$C$24,2,FALSE),'Procurement Dataset'!E551)</f>
        <v>45253</v>
      </c>
      <c r="E551" s="1">
        <v>45253</v>
      </c>
      <c r="F551" t="s">
        <v>802</v>
      </c>
      <c r="G551" t="s">
        <v>796</v>
      </c>
      <c r="H551" s="5">
        <v>354</v>
      </c>
      <c r="I551" s="3">
        <v>27.71</v>
      </c>
      <c r="J551" s="3">
        <v>23.87</v>
      </c>
      <c r="K551" s="5">
        <f t="shared" si="57"/>
        <v>39</v>
      </c>
      <c r="L551">
        <v>39</v>
      </c>
      <c r="M551" t="s">
        <v>805</v>
      </c>
      <c r="N551">
        <f t="shared" si="56"/>
        <v>11</v>
      </c>
      <c r="O551" t="str">
        <f t="shared" si="58"/>
        <v>Valid</v>
      </c>
      <c r="P551" s="1" t="str">
        <f>IF(N551&gt;=(VLOOKUP(B551,Lembar2!$B$19:$C$24,2,FALSE)+7),"Delayed","Ontime")</f>
        <v>Ontime</v>
      </c>
      <c r="Q551" s="3">
        <f t="shared" si="59"/>
        <v>9809.34</v>
      </c>
      <c r="R551" s="3">
        <f t="shared" si="60"/>
        <v>8449.98</v>
      </c>
      <c r="S551" s="3">
        <f t="shared" si="61"/>
        <v>1359.3600000000006</v>
      </c>
      <c r="T551">
        <f t="shared" si="62"/>
        <v>1</v>
      </c>
    </row>
    <row r="552" spans="1:20" x14ac:dyDescent="0.25">
      <c r="A552" t="s">
        <v>1355</v>
      </c>
      <c r="B552" t="s">
        <v>798</v>
      </c>
      <c r="C552" s="1">
        <v>44950</v>
      </c>
      <c r="D552" s="1">
        <f>IF(E552="",C552+VLOOKUP(B552,Lembar2!$B$19:$C$24,2,FALSE),'Procurement Dataset'!E552)</f>
        <v>44960</v>
      </c>
      <c r="E552" s="1">
        <v>44960</v>
      </c>
      <c r="F552" t="s">
        <v>799</v>
      </c>
      <c r="G552" t="s">
        <v>796</v>
      </c>
      <c r="H552" s="5">
        <v>1765</v>
      </c>
      <c r="I552" s="3">
        <v>81.010000000000005</v>
      </c>
      <c r="J552" s="3">
        <v>78.430000000000007</v>
      </c>
      <c r="K552" s="5">
        <f t="shared" si="57"/>
        <v>78</v>
      </c>
      <c r="L552">
        <v>78</v>
      </c>
      <c r="M552" t="s">
        <v>793</v>
      </c>
      <c r="N552">
        <f t="shared" si="56"/>
        <v>10</v>
      </c>
      <c r="O552" t="str">
        <f t="shared" si="58"/>
        <v>Valid</v>
      </c>
      <c r="P552" s="1" t="str">
        <f>IF(N552&gt;=(VLOOKUP(B552,Lembar2!$B$19:$C$24,2,FALSE)+7),"Delayed","Ontime")</f>
        <v>Ontime</v>
      </c>
      <c r="Q552" s="3">
        <f t="shared" si="59"/>
        <v>142982.65000000002</v>
      </c>
      <c r="R552" s="3">
        <f t="shared" si="60"/>
        <v>138428.95000000001</v>
      </c>
      <c r="S552" s="3">
        <f t="shared" si="61"/>
        <v>4553.7000000000116</v>
      </c>
      <c r="T552">
        <f t="shared" si="62"/>
        <v>1</v>
      </c>
    </row>
    <row r="553" spans="1:20" x14ac:dyDescent="0.25">
      <c r="A553" t="s">
        <v>1356</v>
      </c>
      <c r="B553" t="s">
        <v>801</v>
      </c>
      <c r="C553" s="1">
        <v>45255</v>
      </c>
      <c r="D553" s="1">
        <f>IF(E553="",C553+VLOOKUP(B553,Lembar2!$B$19:$C$24,2,FALSE),'Procurement Dataset'!E553)</f>
        <v>45269</v>
      </c>
      <c r="E553" s="1">
        <v>45269</v>
      </c>
      <c r="F553" t="s">
        <v>799</v>
      </c>
      <c r="G553" t="s">
        <v>796</v>
      </c>
      <c r="H553" s="5">
        <v>731</v>
      </c>
      <c r="I553" s="3">
        <v>19.37</v>
      </c>
      <c r="J553" s="3">
        <v>17.3</v>
      </c>
      <c r="K553" s="5">
        <f t="shared" si="57"/>
        <v>69</v>
      </c>
      <c r="L553">
        <v>69</v>
      </c>
      <c r="M553" t="s">
        <v>805</v>
      </c>
      <c r="N553">
        <f t="shared" si="56"/>
        <v>14</v>
      </c>
      <c r="O553" t="str">
        <f t="shared" si="58"/>
        <v>Valid</v>
      </c>
      <c r="P553" s="1" t="str">
        <f>IF(N553&gt;=(VLOOKUP(B553,Lembar2!$B$19:$C$24,2,FALSE)+7),"Delayed","Ontime")</f>
        <v>Ontime</v>
      </c>
      <c r="Q553" s="3">
        <f t="shared" si="59"/>
        <v>14159.470000000001</v>
      </c>
      <c r="R553" s="3">
        <f t="shared" si="60"/>
        <v>12646.300000000001</v>
      </c>
      <c r="S553" s="3">
        <f t="shared" si="61"/>
        <v>1513.17</v>
      </c>
      <c r="T553">
        <f t="shared" si="62"/>
        <v>1</v>
      </c>
    </row>
    <row r="554" spans="1:20" x14ac:dyDescent="0.25">
      <c r="A554" t="s">
        <v>1357</v>
      </c>
      <c r="B554" t="s">
        <v>807</v>
      </c>
      <c r="C554" s="1">
        <v>44740</v>
      </c>
      <c r="D554" s="1">
        <f>IF(E554="",C554+VLOOKUP(B554,Lembar2!$B$19:$C$24,2,FALSE),'Procurement Dataset'!E554)</f>
        <v>44755</v>
      </c>
      <c r="E554" s="1">
        <v>44755</v>
      </c>
      <c r="F554" t="s">
        <v>799</v>
      </c>
      <c r="G554" t="s">
        <v>796</v>
      </c>
      <c r="H554" s="5">
        <v>887</v>
      </c>
      <c r="I554" s="3">
        <v>65.89</v>
      </c>
      <c r="J554" s="3">
        <v>59.67</v>
      </c>
      <c r="K554" s="5">
        <f t="shared" si="57"/>
        <v>29</v>
      </c>
      <c r="L554">
        <v>29</v>
      </c>
      <c r="M554" t="s">
        <v>793</v>
      </c>
      <c r="N554">
        <f t="shared" si="56"/>
        <v>15</v>
      </c>
      <c r="O554" t="str">
        <f t="shared" si="58"/>
        <v>Valid</v>
      </c>
      <c r="P554" s="1" t="str">
        <f>IF(N554&gt;=(VLOOKUP(B554,Lembar2!$B$19:$C$24,2,FALSE)+7),"Delayed","Ontime")</f>
        <v>Ontime</v>
      </c>
      <c r="Q554" s="3">
        <f t="shared" si="59"/>
        <v>58444.43</v>
      </c>
      <c r="R554" s="3">
        <f t="shared" si="60"/>
        <v>52927.29</v>
      </c>
      <c r="S554" s="3">
        <f t="shared" si="61"/>
        <v>5517.1399999999994</v>
      </c>
      <c r="T554">
        <f t="shared" si="62"/>
        <v>1</v>
      </c>
    </row>
    <row r="555" spans="1:20" x14ac:dyDescent="0.25">
      <c r="A555" t="s">
        <v>1358</v>
      </c>
      <c r="B555" t="s">
        <v>790</v>
      </c>
      <c r="C555" s="1">
        <v>45192</v>
      </c>
      <c r="D555" s="1">
        <f>IF(E555="",C555+VLOOKUP(B555,Lembar2!$B$19:$C$24,2,FALSE),'Procurement Dataset'!E555)</f>
        <v>45194</v>
      </c>
      <c r="E555" s="1">
        <v>45194</v>
      </c>
      <c r="F555" t="s">
        <v>799</v>
      </c>
      <c r="G555" t="s">
        <v>796</v>
      </c>
      <c r="H555" s="5">
        <v>1856</v>
      </c>
      <c r="I555" s="3">
        <v>35.29</v>
      </c>
      <c r="J555" s="3">
        <v>32.409999999999997</v>
      </c>
      <c r="K555" s="5">
        <f t="shared" si="57"/>
        <v>26</v>
      </c>
      <c r="L555">
        <v>26</v>
      </c>
      <c r="M555" t="s">
        <v>793</v>
      </c>
      <c r="N555">
        <f t="shared" si="56"/>
        <v>2</v>
      </c>
      <c r="O555" t="str">
        <f t="shared" si="58"/>
        <v>Valid</v>
      </c>
      <c r="P555" s="1" t="str">
        <f>IF(N555&gt;=(VLOOKUP(B555,Lembar2!$B$19:$C$24,2,FALSE)+7),"Delayed","Ontime")</f>
        <v>Ontime</v>
      </c>
      <c r="Q555" s="3">
        <f t="shared" si="59"/>
        <v>65498.239999999998</v>
      </c>
      <c r="R555" s="3">
        <f t="shared" si="60"/>
        <v>60152.959999999992</v>
      </c>
      <c r="S555" s="3">
        <f t="shared" si="61"/>
        <v>5345.2800000000061</v>
      </c>
      <c r="T555">
        <f t="shared" si="62"/>
        <v>1</v>
      </c>
    </row>
    <row r="556" spans="1:20" x14ac:dyDescent="0.25">
      <c r="A556" t="s">
        <v>1359</v>
      </c>
      <c r="B556" t="s">
        <v>807</v>
      </c>
      <c r="C556" s="1">
        <v>45144</v>
      </c>
      <c r="D556" s="1">
        <f>IF(E556="",C556+VLOOKUP(B556,Lembar2!$B$19:$C$24,2,FALSE),'Procurement Dataset'!E556)</f>
        <v>45156</v>
      </c>
      <c r="E556" s="1">
        <v>45156</v>
      </c>
      <c r="F556" t="s">
        <v>791</v>
      </c>
      <c r="G556" t="s">
        <v>796</v>
      </c>
      <c r="H556" s="5">
        <v>1127</v>
      </c>
      <c r="I556" s="3">
        <v>49.32</v>
      </c>
      <c r="J556" s="3">
        <v>46.49</v>
      </c>
      <c r="K556" s="5">
        <f t="shared" si="57"/>
        <v>30</v>
      </c>
      <c r="L556">
        <v>30</v>
      </c>
      <c r="M556" t="s">
        <v>793</v>
      </c>
      <c r="N556">
        <f t="shared" si="56"/>
        <v>12</v>
      </c>
      <c r="O556" t="str">
        <f t="shared" si="58"/>
        <v>Valid</v>
      </c>
      <c r="P556" s="1" t="str">
        <f>IF(N556&gt;=(VLOOKUP(B556,Lembar2!$B$19:$C$24,2,FALSE)+7),"Delayed","Ontime")</f>
        <v>Ontime</v>
      </c>
      <c r="Q556" s="3">
        <f t="shared" si="59"/>
        <v>55583.64</v>
      </c>
      <c r="R556" s="3">
        <f t="shared" si="60"/>
        <v>52394.23</v>
      </c>
      <c r="S556" s="3">
        <f t="shared" si="61"/>
        <v>3189.4099999999962</v>
      </c>
      <c r="T556">
        <f t="shared" si="62"/>
        <v>1</v>
      </c>
    </row>
    <row r="557" spans="1:20" x14ac:dyDescent="0.25">
      <c r="A557" t="s">
        <v>1360</v>
      </c>
      <c r="B557" t="s">
        <v>795</v>
      </c>
      <c r="C557" s="1">
        <v>44870</v>
      </c>
      <c r="D557" s="1">
        <f>IF(E557="",C557+VLOOKUP(B557,Lembar2!$B$19:$C$24,2,FALSE),'Procurement Dataset'!E557)</f>
        <v>44884</v>
      </c>
      <c r="E557" s="1">
        <v>44884</v>
      </c>
      <c r="F557" t="s">
        <v>804</v>
      </c>
      <c r="G557" t="s">
        <v>796</v>
      </c>
      <c r="H557" s="5">
        <v>1052</v>
      </c>
      <c r="I557" s="3">
        <v>37.78</v>
      </c>
      <c r="J557" s="3">
        <v>32.6</v>
      </c>
      <c r="K557" s="5">
        <f t="shared" si="57"/>
        <v>162</v>
      </c>
      <c r="L557">
        <v>162</v>
      </c>
      <c r="M557" t="s">
        <v>793</v>
      </c>
      <c r="N557">
        <f t="shared" si="56"/>
        <v>14</v>
      </c>
      <c r="O557" t="str">
        <f t="shared" si="58"/>
        <v>Valid</v>
      </c>
      <c r="P557" s="1" t="str">
        <f>IF(N557&gt;=(VLOOKUP(B557,Lembar2!$B$19:$C$24,2,FALSE)+7),"Delayed","Ontime")</f>
        <v>Ontime</v>
      </c>
      <c r="Q557" s="3">
        <f t="shared" si="59"/>
        <v>39744.559999999998</v>
      </c>
      <c r="R557" s="3">
        <f t="shared" si="60"/>
        <v>34295.200000000004</v>
      </c>
      <c r="S557" s="3">
        <f t="shared" si="61"/>
        <v>5449.3599999999933</v>
      </c>
      <c r="T557">
        <f t="shared" si="62"/>
        <v>1</v>
      </c>
    </row>
    <row r="558" spans="1:20" x14ac:dyDescent="0.25">
      <c r="A558" t="s">
        <v>1361</v>
      </c>
      <c r="B558" t="s">
        <v>798</v>
      </c>
      <c r="C558" s="1">
        <v>44977</v>
      </c>
      <c r="D558" s="1">
        <f>IF(E558="",C558+VLOOKUP(B558,Lembar2!$B$19:$C$24,2,FALSE),'Procurement Dataset'!E558)</f>
        <v>44979</v>
      </c>
      <c r="E558" s="1">
        <v>44979</v>
      </c>
      <c r="F558" t="s">
        <v>804</v>
      </c>
      <c r="G558" t="s">
        <v>796</v>
      </c>
      <c r="H558" s="5">
        <v>493</v>
      </c>
      <c r="I558" s="3">
        <v>44.74</v>
      </c>
      <c r="J558" s="3">
        <v>41.44</v>
      </c>
      <c r="K558" s="5">
        <f t="shared" si="57"/>
        <v>24</v>
      </c>
      <c r="L558">
        <v>24</v>
      </c>
      <c r="M558" t="s">
        <v>805</v>
      </c>
      <c r="N558">
        <f t="shared" si="56"/>
        <v>2</v>
      </c>
      <c r="O558" t="str">
        <f t="shared" si="58"/>
        <v>Valid</v>
      </c>
      <c r="P558" s="1" t="str">
        <f>IF(N558&gt;=(VLOOKUP(B558,Lembar2!$B$19:$C$24,2,FALSE)+7),"Delayed","Ontime")</f>
        <v>Ontime</v>
      </c>
      <c r="Q558" s="3">
        <f t="shared" si="59"/>
        <v>22056.82</v>
      </c>
      <c r="R558" s="3">
        <f t="shared" si="60"/>
        <v>20429.919999999998</v>
      </c>
      <c r="S558" s="3">
        <f t="shared" si="61"/>
        <v>1626.9000000000015</v>
      </c>
      <c r="T558">
        <f t="shared" si="62"/>
        <v>1</v>
      </c>
    </row>
    <row r="559" spans="1:20" x14ac:dyDescent="0.25">
      <c r="A559" t="s">
        <v>1362</v>
      </c>
      <c r="B559" t="s">
        <v>795</v>
      </c>
      <c r="C559" s="1">
        <v>45123</v>
      </c>
      <c r="D559" s="1">
        <f>IF(E559="",C559+VLOOKUP(B559,Lembar2!$B$19:$C$24,2,FALSE),'Procurement Dataset'!E559)</f>
        <v>45136</v>
      </c>
      <c r="E559" s="1">
        <v>45136</v>
      </c>
      <c r="F559" t="s">
        <v>799</v>
      </c>
      <c r="G559" t="s">
        <v>811</v>
      </c>
      <c r="H559" s="5">
        <v>662</v>
      </c>
      <c r="I559" s="3">
        <v>81.44</v>
      </c>
      <c r="J559" s="3">
        <v>71.33</v>
      </c>
      <c r="K559" s="5">
        <f t="shared" si="57"/>
        <v>87</v>
      </c>
      <c r="L559">
        <v>87</v>
      </c>
      <c r="M559" t="s">
        <v>793</v>
      </c>
      <c r="N559">
        <f t="shared" si="56"/>
        <v>13</v>
      </c>
      <c r="O559" t="str">
        <f t="shared" si="58"/>
        <v>Valid</v>
      </c>
      <c r="P559" s="1" t="str">
        <f>IF(N559&gt;=(VLOOKUP(B559,Lembar2!$B$19:$C$24,2,FALSE)+7),"Delayed","Ontime")</f>
        <v>Ontime</v>
      </c>
      <c r="Q559" s="3">
        <f t="shared" si="59"/>
        <v>53913.279999999999</v>
      </c>
      <c r="R559" s="3">
        <f t="shared" si="60"/>
        <v>47220.46</v>
      </c>
      <c r="S559" s="3">
        <f t="shared" si="61"/>
        <v>6692.82</v>
      </c>
      <c r="T559">
        <f t="shared" si="62"/>
        <v>1</v>
      </c>
    </row>
    <row r="560" spans="1:20" x14ac:dyDescent="0.25">
      <c r="A560" t="s">
        <v>1363</v>
      </c>
      <c r="B560" t="s">
        <v>790</v>
      </c>
      <c r="C560" s="1">
        <v>44562</v>
      </c>
      <c r="D560" s="1">
        <f>IF(E560="",C560+VLOOKUP(B560,Lembar2!$B$19:$C$24,2,FALSE),'Procurement Dataset'!E560)</f>
        <v>44568</v>
      </c>
      <c r="E560" s="1">
        <v>44568</v>
      </c>
      <c r="F560" t="s">
        <v>804</v>
      </c>
      <c r="G560" t="s">
        <v>796</v>
      </c>
      <c r="H560" s="5">
        <v>1042</v>
      </c>
      <c r="I560" s="3">
        <v>36.74</v>
      </c>
      <c r="J560" s="3">
        <v>35.78</v>
      </c>
      <c r="K560" s="5">
        <f t="shared" si="57"/>
        <v>33</v>
      </c>
      <c r="L560">
        <v>33</v>
      </c>
      <c r="M560" t="s">
        <v>793</v>
      </c>
      <c r="N560">
        <f t="shared" si="56"/>
        <v>6</v>
      </c>
      <c r="O560" t="str">
        <f t="shared" si="58"/>
        <v>Valid</v>
      </c>
      <c r="P560" s="1" t="str">
        <f>IF(N560&gt;=(VLOOKUP(B560,Lembar2!$B$19:$C$24,2,FALSE)+7),"Delayed","Ontime")</f>
        <v>Ontime</v>
      </c>
      <c r="Q560" s="3">
        <f t="shared" si="59"/>
        <v>38283.08</v>
      </c>
      <c r="R560" s="3">
        <f t="shared" si="60"/>
        <v>37282.76</v>
      </c>
      <c r="S560" s="3">
        <f t="shared" si="61"/>
        <v>1000.3199999999997</v>
      </c>
      <c r="T560">
        <f t="shared" si="62"/>
        <v>1</v>
      </c>
    </row>
    <row r="561" spans="1:20" x14ac:dyDescent="0.25">
      <c r="A561" t="s">
        <v>1364</v>
      </c>
      <c r="B561" t="s">
        <v>790</v>
      </c>
      <c r="C561" s="1">
        <v>44873</v>
      </c>
      <c r="D561" s="1">
        <f>IF(E561="",C561+VLOOKUP(B561,Lembar2!$B$19:$C$24,2,FALSE),'Procurement Dataset'!E561)</f>
        <v>44884</v>
      </c>
      <c r="F561" t="s">
        <v>804</v>
      </c>
      <c r="G561" t="s">
        <v>796</v>
      </c>
      <c r="H561" s="5">
        <v>313</v>
      </c>
      <c r="I561" s="3">
        <v>64.03</v>
      </c>
      <c r="J561" s="3">
        <v>57.74</v>
      </c>
      <c r="K561" s="5">
        <f t="shared" si="57"/>
        <v>1</v>
      </c>
      <c r="L561">
        <v>1</v>
      </c>
      <c r="M561" t="s">
        <v>793</v>
      </c>
      <c r="N561" t="str">
        <f t="shared" si="56"/>
        <v/>
      </c>
      <c r="O561" t="str">
        <f t="shared" si="58"/>
        <v>Valid</v>
      </c>
      <c r="P561" s="1" t="str">
        <f>IF(N561&gt;=(VLOOKUP(B561,Lembar2!$B$19:$C$24,2,FALSE)+7),"Delayed","Ontime")</f>
        <v>Delayed</v>
      </c>
      <c r="Q561" s="3">
        <f t="shared" si="59"/>
        <v>20041.39</v>
      </c>
      <c r="R561" s="3">
        <f t="shared" si="60"/>
        <v>18072.62</v>
      </c>
      <c r="S561" s="3">
        <f t="shared" si="61"/>
        <v>1968.7700000000004</v>
      </c>
      <c r="T561">
        <f t="shared" si="62"/>
        <v>0</v>
      </c>
    </row>
    <row r="562" spans="1:20" x14ac:dyDescent="0.25">
      <c r="A562" t="s">
        <v>1365</v>
      </c>
      <c r="B562" t="s">
        <v>790</v>
      </c>
      <c r="C562" s="1">
        <v>44855</v>
      </c>
      <c r="D562" s="1">
        <f>IF(E562="",C562+VLOOKUP(B562,Lembar2!$B$19:$C$24,2,FALSE),'Procurement Dataset'!E562)</f>
        <v>44875</v>
      </c>
      <c r="E562" s="1">
        <v>44875</v>
      </c>
      <c r="F562" t="s">
        <v>791</v>
      </c>
      <c r="G562" t="s">
        <v>796</v>
      </c>
      <c r="H562" s="5">
        <v>1126</v>
      </c>
      <c r="I562" s="3">
        <v>55.22</v>
      </c>
      <c r="J562" s="3">
        <v>50.38</v>
      </c>
      <c r="K562" s="5">
        <f t="shared" si="57"/>
        <v>0</v>
      </c>
      <c r="M562" t="s">
        <v>793</v>
      </c>
      <c r="N562">
        <f t="shared" si="56"/>
        <v>20</v>
      </c>
      <c r="O562" t="str">
        <f t="shared" si="58"/>
        <v>Valid</v>
      </c>
      <c r="P562" s="1" t="str">
        <f>IF(N562&gt;=(VLOOKUP(B562,Lembar2!$B$19:$C$24,2,FALSE)+7),"Delayed","Ontime")</f>
        <v>Delayed</v>
      </c>
      <c r="Q562" s="3">
        <f t="shared" si="59"/>
        <v>62177.72</v>
      </c>
      <c r="R562" s="3">
        <f t="shared" si="60"/>
        <v>56727.880000000005</v>
      </c>
      <c r="S562" s="3">
        <f t="shared" si="61"/>
        <v>5449.8399999999965</v>
      </c>
      <c r="T562">
        <f t="shared" si="62"/>
        <v>0</v>
      </c>
    </row>
    <row r="563" spans="1:20" x14ac:dyDescent="0.25">
      <c r="A563" t="s">
        <v>1366</v>
      </c>
      <c r="B563" t="s">
        <v>798</v>
      </c>
      <c r="C563" s="1">
        <v>44777</v>
      </c>
      <c r="D563" s="1">
        <f>IF(E563="",C563+VLOOKUP(B563,Lembar2!$B$19:$C$24,2,FALSE),'Procurement Dataset'!E563)</f>
        <v>44792</v>
      </c>
      <c r="E563" s="1">
        <v>44792</v>
      </c>
      <c r="F563" t="s">
        <v>799</v>
      </c>
      <c r="G563" t="s">
        <v>796</v>
      </c>
      <c r="H563" s="5">
        <v>1645</v>
      </c>
      <c r="I563" s="3">
        <v>72.17</v>
      </c>
      <c r="J563" s="3">
        <v>64</v>
      </c>
      <c r="K563" s="5">
        <f t="shared" si="57"/>
        <v>79</v>
      </c>
      <c r="L563">
        <v>79</v>
      </c>
      <c r="M563" t="s">
        <v>793</v>
      </c>
      <c r="N563">
        <f t="shared" si="56"/>
        <v>15</v>
      </c>
      <c r="O563" t="str">
        <f t="shared" si="58"/>
        <v>Valid</v>
      </c>
      <c r="P563" s="1" t="str">
        <f>IF(N563&gt;=(VLOOKUP(B563,Lembar2!$B$19:$C$24,2,FALSE)+7),"Delayed","Ontime")</f>
        <v>Ontime</v>
      </c>
      <c r="Q563" s="3">
        <f t="shared" si="59"/>
        <v>118719.65000000001</v>
      </c>
      <c r="R563" s="3">
        <f t="shared" si="60"/>
        <v>105280</v>
      </c>
      <c r="S563" s="3">
        <f t="shared" si="61"/>
        <v>13439.650000000009</v>
      </c>
      <c r="T563">
        <f t="shared" si="62"/>
        <v>1</v>
      </c>
    </row>
    <row r="564" spans="1:20" x14ac:dyDescent="0.25">
      <c r="A564" t="s">
        <v>1367</v>
      </c>
      <c r="B564" t="s">
        <v>801</v>
      </c>
      <c r="C564" s="1">
        <v>45002</v>
      </c>
      <c r="D564" s="1">
        <f>IF(E564="",C564+VLOOKUP(B564,Lembar2!$B$19:$C$24,2,FALSE),'Procurement Dataset'!E564)</f>
        <v>45005</v>
      </c>
      <c r="E564" s="1">
        <v>45005</v>
      </c>
      <c r="F564" t="s">
        <v>802</v>
      </c>
      <c r="G564" t="s">
        <v>796</v>
      </c>
      <c r="H564" s="5">
        <v>1053</v>
      </c>
      <c r="I564" s="3">
        <v>100.92</v>
      </c>
      <c r="J564" s="3">
        <v>92.35</v>
      </c>
      <c r="K564" s="5">
        <f t="shared" si="57"/>
        <v>104</v>
      </c>
      <c r="L564">
        <v>104</v>
      </c>
      <c r="M564" t="s">
        <v>793</v>
      </c>
      <c r="N564">
        <f t="shared" si="56"/>
        <v>3</v>
      </c>
      <c r="O564" t="str">
        <f t="shared" si="58"/>
        <v>Valid</v>
      </c>
      <c r="P564" s="1" t="str">
        <f>IF(N564&gt;=(VLOOKUP(B564,Lembar2!$B$19:$C$24,2,FALSE)+7),"Delayed","Ontime")</f>
        <v>Ontime</v>
      </c>
      <c r="Q564" s="3">
        <f t="shared" si="59"/>
        <v>106268.76</v>
      </c>
      <c r="R564" s="3">
        <f t="shared" si="60"/>
        <v>97244.549999999988</v>
      </c>
      <c r="S564" s="3">
        <f t="shared" si="61"/>
        <v>9024.2100000000064</v>
      </c>
      <c r="T564">
        <f t="shared" si="62"/>
        <v>1</v>
      </c>
    </row>
    <row r="565" spans="1:20" x14ac:dyDescent="0.25">
      <c r="A565" t="s">
        <v>1368</v>
      </c>
      <c r="B565" t="s">
        <v>807</v>
      </c>
      <c r="C565" s="1">
        <v>45155</v>
      </c>
      <c r="D565" s="1">
        <f>IF(E565="",C565+VLOOKUP(B565,Lembar2!$B$19:$C$24,2,FALSE),'Procurement Dataset'!E565)</f>
        <v>45167</v>
      </c>
      <c r="E565" s="1">
        <v>45167</v>
      </c>
      <c r="F565" t="s">
        <v>799</v>
      </c>
      <c r="G565" t="s">
        <v>796</v>
      </c>
      <c r="H565" s="5">
        <v>1693</v>
      </c>
      <c r="I565" s="3">
        <v>83.14</v>
      </c>
      <c r="J565" s="3">
        <v>73.3</v>
      </c>
      <c r="K565" s="5">
        <f t="shared" si="57"/>
        <v>62</v>
      </c>
      <c r="L565">
        <v>62</v>
      </c>
      <c r="M565" t="s">
        <v>793</v>
      </c>
      <c r="N565">
        <f t="shared" si="56"/>
        <v>12</v>
      </c>
      <c r="O565" t="str">
        <f t="shared" si="58"/>
        <v>Valid</v>
      </c>
      <c r="P565" s="1" t="str">
        <f>IF(N565&gt;=(VLOOKUP(B565,Lembar2!$B$19:$C$24,2,FALSE)+7),"Delayed","Ontime")</f>
        <v>Ontime</v>
      </c>
      <c r="Q565" s="3">
        <f t="shared" si="59"/>
        <v>140756.01999999999</v>
      </c>
      <c r="R565" s="3">
        <f t="shared" si="60"/>
        <v>124096.9</v>
      </c>
      <c r="S565" s="3">
        <f t="shared" si="61"/>
        <v>16659.119999999995</v>
      </c>
      <c r="T565">
        <f t="shared" si="62"/>
        <v>1</v>
      </c>
    </row>
    <row r="566" spans="1:20" x14ac:dyDescent="0.25">
      <c r="A566" t="s">
        <v>1369</v>
      </c>
      <c r="B566" t="s">
        <v>807</v>
      </c>
      <c r="C566" s="1">
        <v>45183</v>
      </c>
      <c r="D566" s="1">
        <f>IF(E566="",C566+VLOOKUP(B566,Lembar2!$B$19:$C$24,2,FALSE),'Procurement Dataset'!E566)</f>
        <v>45202</v>
      </c>
      <c r="E566" s="1">
        <v>45202</v>
      </c>
      <c r="F566" t="s">
        <v>804</v>
      </c>
      <c r="G566" t="s">
        <v>813</v>
      </c>
      <c r="H566" s="5">
        <v>54</v>
      </c>
      <c r="I566" s="3">
        <v>32.28</v>
      </c>
      <c r="J566" s="3">
        <v>28.65</v>
      </c>
      <c r="K566" s="5">
        <f t="shared" si="57"/>
        <v>3</v>
      </c>
      <c r="L566">
        <v>3</v>
      </c>
      <c r="M566" t="s">
        <v>793</v>
      </c>
      <c r="N566">
        <f t="shared" si="56"/>
        <v>19</v>
      </c>
      <c r="O566" t="str">
        <f t="shared" si="58"/>
        <v>Valid</v>
      </c>
      <c r="P566" s="1" t="str">
        <f>IF(N566&gt;=(VLOOKUP(B566,Lembar2!$B$19:$C$24,2,FALSE)+7),"Delayed","Ontime")</f>
        <v>Delayed</v>
      </c>
      <c r="Q566" s="3">
        <f t="shared" si="59"/>
        <v>1743.1200000000001</v>
      </c>
      <c r="R566" s="3">
        <f t="shared" si="60"/>
        <v>1547.1</v>
      </c>
      <c r="S566" s="3">
        <f t="shared" si="61"/>
        <v>196.02000000000021</v>
      </c>
      <c r="T566">
        <f t="shared" si="62"/>
        <v>0</v>
      </c>
    </row>
    <row r="567" spans="1:20" x14ac:dyDescent="0.25">
      <c r="A567" t="s">
        <v>1370</v>
      </c>
      <c r="B567" t="s">
        <v>807</v>
      </c>
      <c r="C567" s="1">
        <v>45232</v>
      </c>
      <c r="D567" s="1">
        <f>IF(E567="",C567+VLOOKUP(B567,Lembar2!$B$19:$C$24,2,FALSE),'Procurement Dataset'!E567)</f>
        <v>45237</v>
      </c>
      <c r="E567" s="1">
        <v>45237</v>
      </c>
      <c r="F567" t="s">
        <v>802</v>
      </c>
      <c r="G567" t="s">
        <v>796</v>
      </c>
      <c r="H567" s="5">
        <v>1176</v>
      </c>
      <c r="I567" s="3">
        <v>14.22</v>
      </c>
      <c r="J567" s="3">
        <v>12.21</v>
      </c>
      <c r="K567" s="5">
        <f t="shared" si="57"/>
        <v>33</v>
      </c>
      <c r="L567">
        <v>33</v>
      </c>
      <c r="M567" t="s">
        <v>793</v>
      </c>
      <c r="N567">
        <f t="shared" si="56"/>
        <v>5</v>
      </c>
      <c r="O567" t="str">
        <f t="shared" si="58"/>
        <v>Valid</v>
      </c>
      <c r="P567" s="1" t="str">
        <f>IF(N567&gt;=(VLOOKUP(B567,Lembar2!$B$19:$C$24,2,FALSE)+7),"Delayed","Ontime")</f>
        <v>Ontime</v>
      </c>
      <c r="Q567" s="3">
        <f t="shared" si="59"/>
        <v>16722.72</v>
      </c>
      <c r="R567" s="3">
        <f t="shared" si="60"/>
        <v>14358.960000000001</v>
      </c>
      <c r="S567" s="3">
        <f t="shared" si="61"/>
        <v>2363.7600000000002</v>
      </c>
      <c r="T567">
        <f t="shared" si="62"/>
        <v>1</v>
      </c>
    </row>
    <row r="568" spans="1:20" x14ac:dyDescent="0.25">
      <c r="A568" t="s">
        <v>1371</v>
      </c>
      <c r="B568" t="s">
        <v>807</v>
      </c>
      <c r="C568" s="1">
        <v>44891</v>
      </c>
      <c r="D568" s="1">
        <f>IF(E568="",C568+VLOOKUP(B568,Lembar2!$B$19:$C$24,2,FALSE),'Procurement Dataset'!E568)</f>
        <v>44903</v>
      </c>
      <c r="E568" s="1">
        <v>44903</v>
      </c>
      <c r="F568" t="s">
        <v>804</v>
      </c>
      <c r="G568" t="s">
        <v>796</v>
      </c>
      <c r="H568" s="5">
        <v>1269</v>
      </c>
      <c r="I568" s="3">
        <v>35.28</v>
      </c>
      <c r="J568" s="3">
        <v>33.700000000000003</v>
      </c>
      <c r="K568" s="5">
        <f t="shared" si="57"/>
        <v>35</v>
      </c>
      <c r="L568">
        <v>35</v>
      </c>
      <c r="M568" t="s">
        <v>793</v>
      </c>
      <c r="N568">
        <f t="shared" si="56"/>
        <v>12</v>
      </c>
      <c r="O568" t="str">
        <f t="shared" si="58"/>
        <v>Valid</v>
      </c>
      <c r="P568" s="1" t="str">
        <f>IF(N568&gt;=(VLOOKUP(B568,Lembar2!$B$19:$C$24,2,FALSE)+7),"Delayed","Ontime")</f>
        <v>Ontime</v>
      </c>
      <c r="Q568" s="3">
        <f t="shared" si="59"/>
        <v>44770.32</v>
      </c>
      <c r="R568" s="3">
        <f t="shared" si="60"/>
        <v>42765.3</v>
      </c>
      <c r="S568" s="3">
        <f t="shared" si="61"/>
        <v>2005.0199999999968</v>
      </c>
      <c r="T568">
        <f t="shared" si="62"/>
        <v>1</v>
      </c>
    </row>
    <row r="569" spans="1:20" x14ac:dyDescent="0.25">
      <c r="A569" t="s">
        <v>1372</v>
      </c>
      <c r="B569" t="s">
        <v>807</v>
      </c>
      <c r="C569" s="1">
        <v>45038</v>
      </c>
      <c r="D569" s="1">
        <f>IF(E569="",C569+VLOOKUP(B569,Lembar2!$B$19:$C$24,2,FALSE),'Procurement Dataset'!E569)</f>
        <v>45041</v>
      </c>
      <c r="E569" s="1">
        <v>45041</v>
      </c>
      <c r="F569" t="s">
        <v>804</v>
      </c>
      <c r="G569" t="s">
        <v>796</v>
      </c>
      <c r="H569" s="5">
        <v>823</v>
      </c>
      <c r="I569" s="3">
        <v>68.319999999999993</v>
      </c>
      <c r="J569" s="3">
        <v>64.459999999999994</v>
      </c>
      <c r="K569" s="5">
        <f t="shared" si="57"/>
        <v>19</v>
      </c>
      <c r="L569">
        <v>19</v>
      </c>
      <c r="M569" t="s">
        <v>793</v>
      </c>
      <c r="N569">
        <f t="shared" si="56"/>
        <v>3</v>
      </c>
      <c r="O569" t="str">
        <f t="shared" si="58"/>
        <v>Valid</v>
      </c>
      <c r="P569" s="1" t="str">
        <f>IF(N569&gt;=(VLOOKUP(B569,Lembar2!$B$19:$C$24,2,FALSE)+7),"Delayed","Ontime")</f>
        <v>Ontime</v>
      </c>
      <c r="Q569" s="3">
        <f t="shared" si="59"/>
        <v>56227.359999999993</v>
      </c>
      <c r="R569" s="3">
        <f t="shared" si="60"/>
        <v>53050.579999999994</v>
      </c>
      <c r="S569" s="3">
        <f t="shared" si="61"/>
        <v>3176.7799999999988</v>
      </c>
      <c r="T569">
        <f t="shared" si="62"/>
        <v>1</v>
      </c>
    </row>
    <row r="570" spans="1:20" x14ac:dyDescent="0.25">
      <c r="A570" t="s">
        <v>1373</v>
      </c>
      <c r="B570" t="s">
        <v>801</v>
      </c>
      <c r="C570" s="1">
        <v>45014</v>
      </c>
      <c r="D570" s="1">
        <f>IF(E570="",C570+VLOOKUP(B570,Lembar2!$B$19:$C$24,2,FALSE),'Procurement Dataset'!E570)</f>
        <v>45031</v>
      </c>
      <c r="E570" s="1">
        <v>45031</v>
      </c>
      <c r="F570" t="s">
        <v>817</v>
      </c>
      <c r="G570" t="s">
        <v>796</v>
      </c>
      <c r="H570" s="5">
        <v>926</v>
      </c>
      <c r="I570" s="3">
        <v>15.65</v>
      </c>
      <c r="J570" s="3">
        <v>13.49</v>
      </c>
      <c r="K570" s="5">
        <f t="shared" si="57"/>
        <v>94</v>
      </c>
      <c r="L570">
        <v>94</v>
      </c>
      <c r="M570" t="s">
        <v>805</v>
      </c>
      <c r="N570">
        <f t="shared" si="56"/>
        <v>17</v>
      </c>
      <c r="O570" t="str">
        <f t="shared" si="58"/>
        <v>Valid</v>
      </c>
      <c r="P570" s="1" t="str">
        <f>IF(N570&gt;=(VLOOKUP(B570,Lembar2!$B$19:$C$24,2,FALSE)+7),"Delayed","Ontime")</f>
        <v>Ontime</v>
      </c>
      <c r="Q570" s="3">
        <f t="shared" si="59"/>
        <v>14491.9</v>
      </c>
      <c r="R570" s="3">
        <f t="shared" si="60"/>
        <v>12491.74</v>
      </c>
      <c r="S570" s="3">
        <f t="shared" si="61"/>
        <v>2000.1599999999999</v>
      </c>
      <c r="T570">
        <f t="shared" si="62"/>
        <v>1</v>
      </c>
    </row>
    <row r="571" spans="1:20" x14ac:dyDescent="0.25">
      <c r="A571" t="s">
        <v>1374</v>
      </c>
      <c r="B571" t="s">
        <v>795</v>
      </c>
      <c r="C571" s="1">
        <v>45014</v>
      </c>
      <c r="D571" s="1">
        <f>IF(E571="",C571+VLOOKUP(B571,Lembar2!$B$19:$C$24,2,FALSE),'Procurement Dataset'!E571)</f>
        <v>45025</v>
      </c>
      <c r="E571" s="1">
        <v>45025</v>
      </c>
      <c r="F571" t="s">
        <v>817</v>
      </c>
      <c r="G571" t="s">
        <v>792</v>
      </c>
      <c r="H571" s="5">
        <v>1041</v>
      </c>
      <c r="I571" s="3">
        <v>58.5</v>
      </c>
      <c r="J571" s="3">
        <v>52.54</v>
      </c>
      <c r="K571" s="5">
        <f t="shared" si="57"/>
        <v>170</v>
      </c>
      <c r="L571">
        <v>170</v>
      </c>
      <c r="M571" t="s">
        <v>805</v>
      </c>
      <c r="N571">
        <f t="shared" si="56"/>
        <v>11</v>
      </c>
      <c r="O571" t="str">
        <f t="shared" si="58"/>
        <v>Valid</v>
      </c>
      <c r="P571" s="1" t="str">
        <f>IF(N571&gt;=(VLOOKUP(B571,Lembar2!$B$19:$C$24,2,FALSE)+7),"Delayed","Ontime")</f>
        <v>Ontime</v>
      </c>
      <c r="Q571" s="3">
        <f t="shared" si="59"/>
        <v>60898.5</v>
      </c>
      <c r="R571" s="3">
        <f t="shared" si="60"/>
        <v>54694.14</v>
      </c>
      <c r="S571" s="3">
        <f t="shared" si="61"/>
        <v>6204.3600000000006</v>
      </c>
      <c r="T571">
        <f t="shared" si="62"/>
        <v>1</v>
      </c>
    </row>
    <row r="572" spans="1:20" x14ac:dyDescent="0.25">
      <c r="A572" t="s">
        <v>1375</v>
      </c>
      <c r="B572" t="s">
        <v>798</v>
      </c>
      <c r="C572" s="1">
        <v>45253</v>
      </c>
      <c r="D572" s="1">
        <f>IF(E572="",C572+VLOOKUP(B572,Lembar2!$B$19:$C$24,2,FALSE),'Procurement Dataset'!E572)</f>
        <v>45261</v>
      </c>
      <c r="E572" s="1">
        <v>45261</v>
      </c>
      <c r="F572" t="s">
        <v>817</v>
      </c>
      <c r="G572" t="s">
        <v>813</v>
      </c>
      <c r="H572" s="5">
        <v>933</v>
      </c>
      <c r="I572" s="3">
        <v>70.72</v>
      </c>
      <c r="J572" s="3">
        <v>65.47</v>
      </c>
      <c r="K572" s="5">
        <f t="shared" si="57"/>
        <v>42</v>
      </c>
      <c r="L572">
        <v>42</v>
      </c>
      <c r="M572" t="s">
        <v>793</v>
      </c>
      <c r="N572">
        <f t="shared" si="56"/>
        <v>8</v>
      </c>
      <c r="O572" t="str">
        <f t="shared" si="58"/>
        <v>Valid</v>
      </c>
      <c r="P572" s="1" t="str">
        <f>IF(N572&gt;=(VLOOKUP(B572,Lembar2!$B$19:$C$24,2,FALSE)+7),"Delayed","Ontime")</f>
        <v>Ontime</v>
      </c>
      <c r="Q572" s="3">
        <f t="shared" si="59"/>
        <v>65981.759999999995</v>
      </c>
      <c r="R572" s="3">
        <f t="shared" si="60"/>
        <v>61083.51</v>
      </c>
      <c r="S572" s="3">
        <f t="shared" si="61"/>
        <v>4898.2499999999927</v>
      </c>
      <c r="T572">
        <f t="shared" si="62"/>
        <v>1</v>
      </c>
    </row>
    <row r="573" spans="1:20" x14ac:dyDescent="0.25">
      <c r="A573" t="s">
        <v>1376</v>
      </c>
      <c r="B573" t="s">
        <v>795</v>
      </c>
      <c r="C573" s="1">
        <v>44780</v>
      </c>
      <c r="D573" s="1">
        <f>IF(E573="",C573+VLOOKUP(B573,Lembar2!$B$19:$C$24,2,FALSE),'Procurement Dataset'!E573)</f>
        <v>44791</v>
      </c>
      <c r="F573" t="s">
        <v>804</v>
      </c>
      <c r="G573" t="s">
        <v>796</v>
      </c>
      <c r="H573" s="5">
        <v>1423</v>
      </c>
      <c r="I573" s="3">
        <v>41.48</v>
      </c>
      <c r="J573" s="3">
        <v>40.9</v>
      </c>
      <c r="K573" s="5">
        <f t="shared" si="57"/>
        <v>199</v>
      </c>
      <c r="L573">
        <v>199</v>
      </c>
      <c r="M573" t="s">
        <v>793</v>
      </c>
      <c r="N573" t="str">
        <f t="shared" si="56"/>
        <v/>
      </c>
      <c r="O573" t="str">
        <f t="shared" si="58"/>
        <v>Valid</v>
      </c>
      <c r="P573" s="1" t="str">
        <f>IF(N573&gt;=(VLOOKUP(B573,Lembar2!$B$19:$C$24,2,FALSE)+7),"Delayed","Ontime")</f>
        <v>Delayed</v>
      </c>
      <c r="Q573" s="3">
        <f t="shared" si="59"/>
        <v>59026.039999999994</v>
      </c>
      <c r="R573" s="3">
        <f t="shared" si="60"/>
        <v>58200.7</v>
      </c>
      <c r="S573" s="3">
        <f t="shared" si="61"/>
        <v>825.33999999999651</v>
      </c>
      <c r="T573">
        <f t="shared" si="62"/>
        <v>0</v>
      </c>
    </row>
    <row r="574" spans="1:20" x14ac:dyDescent="0.25">
      <c r="A574" t="s">
        <v>1377</v>
      </c>
      <c r="B574" t="s">
        <v>795</v>
      </c>
      <c r="C574" s="1">
        <v>45085</v>
      </c>
      <c r="D574" s="1">
        <f>IF(E574="",C574+VLOOKUP(B574,Lembar2!$B$19:$C$24,2,FALSE),'Procurement Dataset'!E574)</f>
        <v>45091</v>
      </c>
      <c r="E574" s="1">
        <v>45091</v>
      </c>
      <c r="F574" t="s">
        <v>799</v>
      </c>
      <c r="G574" t="s">
        <v>796</v>
      </c>
      <c r="H574" s="5">
        <v>96</v>
      </c>
      <c r="I574" s="3">
        <v>86.13</v>
      </c>
      <c r="J574" s="3">
        <v>80.319999999999993</v>
      </c>
      <c r="K574" s="5">
        <f t="shared" si="57"/>
        <v>12</v>
      </c>
      <c r="L574">
        <v>12</v>
      </c>
      <c r="M574" t="s">
        <v>805</v>
      </c>
      <c r="N574">
        <f t="shared" si="56"/>
        <v>6</v>
      </c>
      <c r="O574" t="str">
        <f t="shared" si="58"/>
        <v>Valid</v>
      </c>
      <c r="P574" s="1" t="str">
        <f>IF(N574&gt;=(VLOOKUP(B574,Lembar2!$B$19:$C$24,2,FALSE)+7),"Delayed","Ontime")</f>
        <v>Ontime</v>
      </c>
      <c r="Q574" s="3">
        <f t="shared" si="59"/>
        <v>8268.48</v>
      </c>
      <c r="R574" s="3">
        <f t="shared" si="60"/>
        <v>7710.7199999999993</v>
      </c>
      <c r="S574" s="3">
        <f t="shared" si="61"/>
        <v>557.76000000000022</v>
      </c>
      <c r="T574">
        <f t="shared" si="62"/>
        <v>1</v>
      </c>
    </row>
    <row r="575" spans="1:20" x14ac:dyDescent="0.25">
      <c r="A575" t="s">
        <v>1378</v>
      </c>
      <c r="B575" t="s">
        <v>807</v>
      </c>
      <c r="C575" s="1">
        <v>45046</v>
      </c>
      <c r="D575" s="1">
        <f>IF(E575="",C575+VLOOKUP(B575,Lembar2!$B$19:$C$24,2,FALSE),'Procurement Dataset'!E575)</f>
        <v>45059</v>
      </c>
      <c r="E575" s="1">
        <v>45059</v>
      </c>
      <c r="F575" t="s">
        <v>799</v>
      </c>
      <c r="G575" t="s">
        <v>796</v>
      </c>
      <c r="H575" s="5">
        <v>916</v>
      </c>
      <c r="I575" s="3">
        <v>21.06</v>
      </c>
      <c r="J575" s="3">
        <v>19.53</v>
      </c>
      <c r="K575" s="5">
        <f t="shared" si="57"/>
        <v>25</v>
      </c>
      <c r="L575">
        <v>25</v>
      </c>
      <c r="M575" t="s">
        <v>793</v>
      </c>
      <c r="N575">
        <f t="shared" si="56"/>
        <v>13</v>
      </c>
      <c r="O575" t="str">
        <f t="shared" si="58"/>
        <v>Valid</v>
      </c>
      <c r="P575" s="1" t="str">
        <f>IF(N575&gt;=(VLOOKUP(B575,Lembar2!$B$19:$C$24,2,FALSE)+7),"Delayed","Ontime")</f>
        <v>Ontime</v>
      </c>
      <c r="Q575" s="3">
        <f t="shared" si="59"/>
        <v>19290.96</v>
      </c>
      <c r="R575" s="3">
        <f t="shared" si="60"/>
        <v>17889.48</v>
      </c>
      <c r="S575" s="3">
        <f t="shared" si="61"/>
        <v>1401.4799999999996</v>
      </c>
      <c r="T575">
        <f t="shared" si="62"/>
        <v>1</v>
      </c>
    </row>
    <row r="576" spans="1:20" x14ac:dyDescent="0.25">
      <c r="A576" t="s">
        <v>1379</v>
      </c>
      <c r="B576" t="s">
        <v>807</v>
      </c>
      <c r="C576" s="1">
        <v>44735</v>
      </c>
      <c r="D576" s="1">
        <f>IF(E576="",C576+VLOOKUP(B576,Lembar2!$B$19:$C$24,2,FALSE),'Procurement Dataset'!E576)</f>
        <v>44746</v>
      </c>
      <c r="F576" t="s">
        <v>804</v>
      </c>
      <c r="G576" t="s">
        <v>796</v>
      </c>
      <c r="H576" s="5">
        <v>872</v>
      </c>
      <c r="I576" s="3">
        <v>17.18</v>
      </c>
      <c r="J576" s="3">
        <v>16.63</v>
      </c>
      <c r="K576" s="5">
        <f t="shared" si="57"/>
        <v>20</v>
      </c>
      <c r="L576">
        <v>20</v>
      </c>
      <c r="M576" t="s">
        <v>793</v>
      </c>
      <c r="N576" t="str">
        <f t="shared" si="56"/>
        <v/>
      </c>
      <c r="O576" t="str">
        <f t="shared" si="58"/>
        <v>Valid</v>
      </c>
      <c r="P576" s="1" t="str">
        <f>IF(N576&gt;=(VLOOKUP(B576,Lembar2!$B$19:$C$24,2,FALSE)+7),"Delayed","Ontime")</f>
        <v>Delayed</v>
      </c>
      <c r="Q576" s="3">
        <f t="shared" si="59"/>
        <v>14980.96</v>
      </c>
      <c r="R576" s="3">
        <f t="shared" si="60"/>
        <v>14501.359999999999</v>
      </c>
      <c r="S576" s="3">
        <f t="shared" si="61"/>
        <v>479.60000000000036</v>
      </c>
      <c r="T576">
        <f t="shared" si="62"/>
        <v>0</v>
      </c>
    </row>
    <row r="577" spans="1:20" x14ac:dyDescent="0.25">
      <c r="A577" t="s">
        <v>1380</v>
      </c>
      <c r="B577" t="s">
        <v>801</v>
      </c>
      <c r="C577" s="1">
        <v>45236</v>
      </c>
      <c r="D577" s="1">
        <f>IF(E577="",C577+VLOOKUP(B577,Lembar2!$B$19:$C$24,2,FALSE),'Procurement Dataset'!E577)</f>
        <v>45245</v>
      </c>
      <c r="E577" s="1">
        <v>45245</v>
      </c>
      <c r="F577" t="s">
        <v>817</v>
      </c>
      <c r="G577" t="s">
        <v>796</v>
      </c>
      <c r="H577" s="5">
        <v>985</v>
      </c>
      <c r="I577" s="3">
        <v>83.85</v>
      </c>
      <c r="J577" s="3">
        <v>80.88</v>
      </c>
      <c r="K577" s="5">
        <f t="shared" si="57"/>
        <v>0</v>
      </c>
      <c r="M577" t="s">
        <v>805</v>
      </c>
      <c r="N577">
        <f t="shared" si="56"/>
        <v>9</v>
      </c>
      <c r="O577" t="str">
        <f t="shared" si="58"/>
        <v>Valid</v>
      </c>
      <c r="P577" s="1" t="str">
        <f>IF(N577&gt;=(VLOOKUP(B577,Lembar2!$B$19:$C$24,2,FALSE)+7),"Delayed","Ontime")</f>
        <v>Ontime</v>
      </c>
      <c r="Q577" s="3">
        <f t="shared" si="59"/>
        <v>82592.25</v>
      </c>
      <c r="R577" s="3">
        <f t="shared" si="60"/>
        <v>79666.799999999988</v>
      </c>
      <c r="S577" s="3">
        <f t="shared" si="61"/>
        <v>2925.4500000000116</v>
      </c>
      <c r="T577">
        <f t="shared" si="62"/>
        <v>1</v>
      </c>
    </row>
    <row r="578" spans="1:20" x14ac:dyDescent="0.25">
      <c r="A578" t="s">
        <v>1381</v>
      </c>
      <c r="B578" t="s">
        <v>798</v>
      </c>
      <c r="C578" s="1">
        <v>44648</v>
      </c>
      <c r="D578" s="1">
        <f>IF(E578="",C578+VLOOKUP(B578,Lembar2!$B$19:$C$24,2,FALSE),'Procurement Dataset'!E578)</f>
        <v>44655</v>
      </c>
      <c r="E578" s="1">
        <v>44655</v>
      </c>
      <c r="F578" t="s">
        <v>804</v>
      </c>
      <c r="G578" t="s">
        <v>796</v>
      </c>
      <c r="H578" s="5">
        <v>1893</v>
      </c>
      <c r="I578" s="3">
        <v>55.14</v>
      </c>
      <c r="J578" s="3">
        <v>50.1</v>
      </c>
      <c r="K578" s="5">
        <f t="shared" si="57"/>
        <v>98</v>
      </c>
      <c r="L578">
        <v>98</v>
      </c>
      <c r="M578" t="s">
        <v>793</v>
      </c>
      <c r="N578">
        <f t="shared" ref="N578:N641" si="63">IF(E578 = "", "", E578-C578)</f>
        <v>7</v>
      </c>
      <c r="O578" t="str">
        <f t="shared" si="58"/>
        <v>Valid</v>
      </c>
      <c r="P578" s="1" t="str">
        <f>IF(N578&gt;=(VLOOKUP(B578,Lembar2!$B$19:$C$24,2,FALSE)+7),"Delayed","Ontime")</f>
        <v>Ontime</v>
      </c>
      <c r="Q578" s="3">
        <f t="shared" si="59"/>
        <v>104380.02</v>
      </c>
      <c r="R578" s="3">
        <f t="shared" si="60"/>
        <v>94839.3</v>
      </c>
      <c r="S578" s="3">
        <f t="shared" si="61"/>
        <v>9540.7200000000012</v>
      </c>
      <c r="T578">
        <f t="shared" si="62"/>
        <v>1</v>
      </c>
    </row>
    <row r="579" spans="1:20" x14ac:dyDescent="0.25">
      <c r="A579" t="s">
        <v>1382</v>
      </c>
      <c r="B579" t="s">
        <v>790</v>
      </c>
      <c r="C579" s="1">
        <v>44852</v>
      </c>
      <c r="D579" s="1">
        <f>IF(E579="",C579+VLOOKUP(B579,Lembar2!$B$19:$C$24,2,FALSE),'Procurement Dataset'!E579)</f>
        <v>44863</v>
      </c>
      <c r="F579" t="s">
        <v>799</v>
      </c>
      <c r="G579" t="s">
        <v>796</v>
      </c>
      <c r="H579" s="5">
        <v>705</v>
      </c>
      <c r="I579" s="3">
        <v>75.19</v>
      </c>
      <c r="J579" s="3">
        <v>69.55</v>
      </c>
      <c r="K579" s="5">
        <f t="shared" ref="K579:K642" si="64">IF(L579="", 0, L579)</f>
        <v>19</v>
      </c>
      <c r="L579">
        <v>19</v>
      </c>
      <c r="M579" t="s">
        <v>793</v>
      </c>
      <c r="N579" t="str">
        <f t="shared" si="63"/>
        <v/>
      </c>
      <c r="O579" t="str">
        <f t="shared" ref="O579:O642" si="65">IF(D579&lt;C579,"Invalid","Valid")</f>
        <v>Valid</v>
      </c>
      <c r="P579" s="1" t="str">
        <f>IF(N579&gt;=(VLOOKUP(B579,Lembar2!$B$19:$C$24,2,FALSE)+7),"Delayed","Ontime")</f>
        <v>Delayed</v>
      </c>
      <c r="Q579" s="3">
        <f t="shared" ref="Q579:Q642" si="66">H579*I579</f>
        <v>53008.95</v>
      </c>
      <c r="R579" s="3">
        <f t="shared" ref="R579:R642" si="67">H579*J579</f>
        <v>49032.75</v>
      </c>
      <c r="S579" s="3">
        <f t="shared" ref="S579:S642" si="68">Q579-R579</f>
        <v>3976.1999999999971</v>
      </c>
      <c r="T579">
        <f t="shared" ref="T579:T642" si="69">IF(P579="Ontime",1,0)</f>
        <v>0</v>
      </c>
    </row>
    <row r="580" spans="1:20" x14ac:dyDescent="0.25">
      <c r="A580" t="s">
        <v>1383</v>
      </c>
      <c r="B580" t="s">
        <v>795</v>
      </c>
      <c r="C580" s="1">
        <v>45089</v>
      </c>
      <c r="D580" s="1">
        <f>IF(E580="",C580+VLOOKUP(B580,Lembar2!$B$19:$C$24,2,FALSE),'Procurement Dataset'!E580)</f>
        <v>45105</v>
      </c>
      <c r="E580" s="1">
        <v>45105</v>
      </c>
      <c r="F580" t="s">
        <v>799</v>
      </c>
      <c r="G580" t="s">
        <v>796</v>
      </c>
      <c r="H580" s="5">
        <v>318</v>
      </c>
      <c r="I580" s="3">
        <v>53.31</v>
      </c>
      <c r="J580" s="3">
        <v>51.78</v>
      </c>
      <c r="K580" s="5">
        <f t="shared" si="64"/>
        <v>0</v>
      </c>
      <c r="M580" t="s">
        <v>805</v>
      </c>
      <c r="N580">
        <f t="shared" si="63"/>
        <v>16</v>
      </c>
      <c r="O580" t="str">
        <f t="shared" si="65"/>
        <v>Valid</v>
      </c>
      <c r="P580" s="1" t="str">
        <f>IF(N580&gt;=(VLOOKUP(B580,Lembar2!$B$19:$C$24,2,FALSE)+7),"Delayed","Ontime")</f>
        <v>Ontime</v>
      </c>
      <c r="Q580" s="3">
        <f t="shared" si="66"/>
        <v>16952.580000000002</v>
      </c>
      <c r="R580" s="3">
        <f t="shared" si="67"/>
        <v>16466.04</v>
      </c>
      <c r="S580" s="3">
        <f t="shared" si="68"/>
        <v>486.54000000000087</v>
      </c>
      <c r="T580">
        <f t="shared" si="69"/>
        <v>1</v>
      </c>
    </row>
    <row r="581" spans="1:20" x14ac:dyDescent="0.25">
      <c r="A581" t="s">
        <v>1384</v>
      </c>
      <c r="B581" t="s">
        <v>790</v>
      </c>
      <c r="C581" s="1">
        <v>45241</v>
      </c>
      <c r="D581" s="1">
        <f>IF(E581="",C581+VLOOKUP(B581,Lembar2!$B$19:$C$24,2,FALSE),'Procurement Dataset'!E581)</f>
        <v>45246</v>
      </c>
      <c r="E581" s="1">
        <v>45246</v>
      </c>
      <c r="F581" t="s">
        <v>791</v>
      </c>
      <c r="G581" t="s">
        <v>813</v>
      </c>
      <c r="H581" s="5">
        <v>419</v>
      </c>
      <c r="I581" s="3">
        <v>35.72</v>
      </c>
      <c r="J581" s="3">
        <v>32.74</v>
      </c>
      <c r="K581" s="5">
        <f t="shared" si="64"/>
        <v>7</v>
      </c>
      <c r="L581">
        <v>7</v>
      </c>
      <c r="M581" t="s">
        <v>793</v>
      </c>
      <c r="N581">
        <f t="shared" si="63"/>
        <v>5</v>
      </c>
      <c r="O581" t="str">
        <f t="shared" si="65"/>
        <v>Valid</v>
      </c>
      <c r="P581" s="1" t="str">
        <f>IF(N581&gt;=(VLOOKUP(B581,Lembar2!$B$19:$C$24,2,FALSE)+7),"Delayed","Ontime")</f>
        <v>Ontime</v>
      </c>
      <c r="Q581" s="3">
        <f t="shared" si="66"/>
        <v>14966.68</v>
      </c>
      <c r="R581" s="3">
        <f t="shared" si="67"/>
        <v>13718.060000000001</v>
      </c>
      <c r="S581" s="3">
        <f t="shared" si="68"/>
        <v>1248.619999999999</v>
      </c>
      <c r="T581">
        <f t="shared" si="69"/>
        <v>1</v>
      </c>
    </row>
    <row r="582" spans="1:20" x14ac:dyDescent="0.25">
      <c r="A582" t="s">
        <v>1385</v>
      </c>
      <c r="B582" t="s">
        <v>798</v>
      </c>
      <c r="C582" s="1">
        <v>45210</v>
      </c>
      <c r="D582" s="1">
        <f>IF(E582="",C582+VLOOKUP(B582,Lembar2!$B$19:$C$24,2,FALSE),'Procurement Dataset'!E582)</f>
        <v>45225</v>
      </c>
      <c r="E582" s="1">
        <v>45225</v>
      </c>
      <c r="F582" t="s">
        <v>799</v>
      </c>
      <c r="G582" t="s">
        <v>796</v>
      </c>
      <c r="H582" s="5">
        <v>685</v>
      </c>
      <c r="I582" s="3">
        <v>92.51</v>
      </c>
      <c r="J582" s="3">
        <v>90.05</v>
      </c>
      <c r="K582" s="5">
        <f t="shared" si="64"/>
        <v>38</v>
      </c>
      <c r="L582">
        <v>38</v>
      </c>
      <c r="M582" t="s">
        <v>793</v>
      </c>
      <c r="N582">
        <f t="shared" si="63"/>
        <v>15</v>
      </c>
      <c r="O582" t="str">
        <f t="shared" si="65"/>
        <v>Valid</v>
      </c>
      <c r="P582" s="1" t="str">
        <f>IF(N582&gt;=(VLOOKUP(B582,Lembar2!$B$19:$C$24,2,FALSE)+7),"Delayed","Ontime")</f>
        <v>Ontime</v>
      </c>
      <c r="Q582" s="3">
        <f t="shared" si="66"/>
        <v>63369.350000000006</v>
      </c>
      <c r="R582" s="3">
        <f t="shared" si="67"/>
        <v>61684.25</v>
      </c>
      <c r="S582" s="3">
        <f t="shared" si="68"/>
        <v>1685.1000000000058</v>
      </c>
      <c r="T582">
        <f t="shared" si="69"/>
        <v>1</v>
      </c>
    </row>
    <row r="583" spans="1:20" x14ac:dyDescent="0.25">
      <c r="A583" t="s">
        <v>1386</v>
      </c>
      <c r="B583" t="s">
        <v>795</v>
      </c>
      <c r="C583" s="1">
        <v>45196</v>
      </c>
      <c r="D583" s="1">
        <f>IF(E583="",C583+VLOOKUP(B583,Lembar2!$B$19:$C$24,2,FALSE),'Procurement Dataset'!E583)</f>
        <v>45211</v>
      </c>
      <c r="E583" s="1">
        <v>45211</v>
      </c>
      <c r="F583" t="s">
        <v>791</v>
      </c>
      <c r="G583" t="s">
        <v>811</v>
      </c>
      <c r="H583" s="5">
        <v>1179</v>
      </c>
      <c r="I583" s="3">
        <v>90.14</v>
      </c>
      <c r="J583" s="3">
        <v>82.63</v>
      </c>
      <c r="K583" s="5">
        <f t="shared" si="64"/>
        <v>194</v>
      </c>
      <c r="L583">
        <v>194</v>
      </c>
      <c r="M583" t="s">
        <v>793</v>
      </c>
      <c r="N583">
        <f t="shared" si="63"/>
        <v>15</v>
      </c>
      <c r="O583" t="str">
        <f t="shared" si="65"/>
        <v>Valid</v>
      </c>
      <c r="P583" s="1" t="str">
        <f>IF(N583&gt;=(VLOOKUP(B583,Lembar2!$B$19:$C$24,2,FALSE)+7),"Delayed","Ontime")</f>
        <v>Ontime</v>
      </c>
      <c r="Q583" s="3">
        <f t="shared" si="66"/>
        <v>106275.06</v>
      </c>
      <c r="R583" s="3">
        <f t="shared" si="67"/>
        <v>97420.76999999999</v>
      </c>
      <c r="S583" s="3">
        <f t="shared" si="68"/>
        <v>8854.2900000000081</v>
      </c>
      <c r="T583">
        <f t="shared" si="69"/>
        <v>1</v>
      </c>
    </row>
    <row r="584" spans="1:20" x14ac:dyDescent="0.25">
      <c r="A584" t="s">
        <v>1387</v>
      </c>
      <c r="B584" t="s">
        <v>790</v>
      </c>
      <c r="C584" s="1">
        <v>44905</v>
      </c>
      <c r="D584" s="1">
        <f>IF(E584="",C584+VLOOKUP(B584,Lembar2!$B$19:$C$24,2,FALSE),'Procurement Dataset'!E584)</f>
        <v>44916</v>
      </c>
      <c r="F584" t="s">
        <v>804</v>
      </c>
      <c r="G584" t="s">
        <v>796</v>
      </c>
      <c r="H584" s="5">
        <v>1743</v>
      </c>
      <c r="I584" s="3">
        <v>76.510000000000005</v>
      </c>
      <c r="J584" s="3">
        <v>65.88</v>
      </c>
      <c r="K584" s="5">
        <f t="shared" si="64"/>
        <v>40</v>
      </c>
      <c r="L584">
        <v>40</v>
      </c>
      <c r="M584" t="s">
        <v>793</v>
      </c>
      <c r="N584" t="str">
        <f t="shared" si="63"/>
        <v/>
      </c>
      <c r="O584" t="str">
        <f t="shared" si="65"/>
        <v>Valid</v>
      </c>
      <c r="P584" s="1" t="str">
        <f>IF(N584&gt;=(VLOOKUP(B584,Lembar2!$B$19:$C$24,2,FALSE)+7),"Delayed","Ontime")</f>
        <v>Delayed</v>
      </c>
      <c r="Q584" s="3">
        <f t="shared" si="66"/>
        <v>133356.93000000002</v>
      </c>
      <c r="R584" s="3">
        <f t="shared" si="67"/>
        <v>114828.84</v>
      </c>
      <c r="S584" s="3">
        <f t="shared" si="68"/>
        <v>18528.090000000026</v>
      </c>
      <c r="T584">
        <f t="shared" si="69"/>
        <v>0</v>
      </c>
    </row>
    <row r="585" spans="1:20" x14ac:dyDescent="0.25">
      <c r="A585" t="s">
        <v>1388</v>
      </c>
      <c r="B585" t="s">
        <v>790</v>
      </c>
      <c r="C585" s="1">
        <v>44657</v>
      </c>
      <c r="D585" s="1">
        <f>IF(E585="",C585+VLOOKUP(B585,Lembar2!$B$19:$C$24,2,FALSE),'Procurement Dataset'!E585)</f>
        <v>44668</v>
      </c>
      <c r="E585" s="1">
        <v>44668</v>
      </c>
      <c r="F585" t="s">
        <v>799</v>
      </c>
      <c r="G585" t="s">
        <v>796</v>
      </c>
      <c r="H585" s="5">
        <v>1732</v>
      </c>
      <c r="I585" s="3">
        <v>35.01</v>
      </c>
      <c r="J585" s="3">
        <v>34.18</v>
      </c>
      <c r="K585" s="5">
        <f t="shared" si="64"/>
        <v>40</v>
      </c>
      <c r="L585">
        <v>40</v>
      </c>
      <c r="M585" t="s">
        <v>793</v>
      </c>
      <c r="N585">
        <f t="shared" si="63"/>
        <v>11</v>
      </c>
      <c r="O585" t="str">
        <f t="shared" si="65"/>
        <v>Valid</v>
      </c>
      <c r="P585" s="1" t="str">
        <f>IF(N585&gt;=(VLOOKUP(B585,Lembar2!$B$19:$C$24,2,FALSE)+7),"Delayed","Ontime")</f>
        <v>Ontime</v>
      </c>
      <c r="Q585" s="3">
        <f t="shared" si="66"/>
        <v>60637.32</v>
      </c>
      <c r="R585" s="3">
        <f t="shared" si="67"/>
        <v>59199.76</v>
      </c>
      <c r="S585" s="3">
        <f t="shared" si="68"/>
        <v>1437.5599999999977</v>
      </c>
      <c r="T585">
        <f t="shared" si="69"/>
        <v>1</v>
      </c>
    </row>
    <row r="586" spans="1:20" x14ac:dyDescent="0.25">
      <c r="A586" t="s">
        <v>1389</v>
      </c>
      <c r="B586" t="s">
        <v>801</v>
      </c>
      <c r="C586" s="1">
        <v>44802</v>
      </c>
      <c r="D586" s="1">
        <f>IF(E586="",C586+VLOOKUP(B586,Lembar2!$B$19:$C$24,2,FALSE),'Procurement Dataset'!E586)</f>
        <v>44805</v>
      </c>
      <c r="E586" s="1">
        <v>44805</v>
      </c>
      <c r="F586" t="s">
        <v>791</v>
      </c>
      <c r="G586" t="s">
        <v>796</v>
      </c>
      <c r="H586" s="5">
        <v>706</v>
      </c>
      <c r="I586" s="3">
        <v>65.33</v>
      </c>
      <c r="J586" s="3">
        <v>62.06</v>
      </c>
      <c r="K586" s="5">
        <f t="shared" si="64"/>
        <v>60</v>
      </c>
      <c r="L586">
        <v>60</v>
      </c>
      <c r="M586" t="s">
        <v>805</v>
      </c>
      <c r="N586">
        <f t="shared" si="63"/>
        <v>3</v>
      </c>
      <c r="O586" t="str">
        <f t="shared" si="65"/>
        <v>Valid</v>
      </c>
      <c r="P586" s="1" t="str">
        <f>IF(N586&gt;=(VLOOKUP(B586,Lembar2!$B$19:$C$24,2,FALSE)+7),"Delayed","Ontime")</f>
        <v>Ontime</v>
      </c>
      <c r="Q586" s="3">
        <f t="shared" si="66"/>
        <v>46122.979999999996</v>
      </c>
      <c r="R586" s="3">
        <f t="shared" si="67"/>
        <v>43814.36</v>
      </c>
      <c r="S586" s="3">
        <f t="shared" si="68"/>
        <v>2308.6199999999953</v>
      </c>
      <c r="T586">
        <f t="shared" si="69"/>
        <v>1</v>
      </c>
    </row>
    <row r="587" spans="1:20" x14ac:dyDescent="0.25">
      <c r="A587" t="s">
        <v>1390</v>
      </c>
      <c r="B587" t="s">
        <v>798</v>
      </c>
      <c r="C587" s="1">
        <v>45250</v>
      </c>
      <c r="D587" s="1">
        <f>IF(E587="",C587+VLOOKUP(B587,Lembar2!$B$19:$C$24,2,FALSE),'Procurement Dataset'!E587)</f>
        <v>45260</v>
      </c>
      <c r="E587" s="1">
        <v>45260</v>
      </c>
      <c r="F587" t="s">
        <v>799</v>
      </c>
      <c r="G587" t="s">
        <v>792</v>
      </c>
      <c r="H587" s="5">
        <v>169</v>
      </c>
      <c r="I587" s="3">
        <v>47.16</v>
      </c>
      <c r="J587" s="3">
        <v>43.4</v>
      </c>
      <c r="K587" s="5">
        <f t="shared" si="64"/>
        <v>0</v>
      </c>
      <c r="M587" t="s">
        <v>793</v>
      </c>
      <c r="N587">
        <f t="shared" si="63"/>
        <v>10</v>
      </c>
      <c r="O587" t="str">
        <f t="shared" si="65"/>
        <v>Valid</v>
      </c>
      <c r="P587" s="1" t="str">
        <f>IF(N587&gt;=(VLOOKUP(B587,Lembar2!$B$19:$C$24,2,FALSE)+7),"Delayed","Ontime")</f>
        <v>Ontime</v>
      </c>
      <c r="Q587" s="3">
        <f t="shared" si="66"/>
        <v>7970.0399999999991</v>
      </c>
      <c r="R587" s="3">
        <f t="shared" si="67"/>
        <v>7334.5999999999995</v>
      </c>
      <c r="S587" s="3">
        <f t="shared" si="68"/>
        <v>635.4399999999996</v>
      </c>
      <c r="T587">
        <f t="shared" si="69"/>
        <v>1</v>
      </c>
    </row>
    <row r="588" spans="1:20" x14ac:dyDescent="0.25">
      <c r="A588" t="s">
        <v>1391</v>
      </c>
      <c r="B588" t="s">
        <v>798</v>
      </c>
      <c r="C588" s="1">
        <v>44879</v>
      </c>
      <c r="D588" s="1">
        <f>IF(E588="",C588+VLOOKUP(B588,Lembar2!$B$19:$C$24,2,FALSE),'Procurement Dataset'!E588)</f>
        <v>44885</v>
      </c>
      <c r="E588" s="1">
        <v>44885</v>
      </c>
      <c r="F588" t="s">
        <v>791</v>
      </c>
      <c r="G588" t="s">
        <v>813</v>
      </c>
      <c r="H588" s="5">
        <v>880</v>
      </c>
      <c r="I588" s="3">
        <v>19.149999999999999</v>
      </c>
      <c r="J588" s="3">
        <v>18.690000000000001</v>
      </c>
      <c r="K588" s="5">
        <f t="shared" si="64"/>
        <v>0</v>
      </c>
      <c r="M588" t="s">
        <v>805</v>
      </c>
      <c r="N588">
        <f t="shared" si="63"/>
        <v>6</v>
      </c>
      <c r="O588" t="str">
        <f t="shared" si="65"/>
        <v>Valid</v>
      </c>
      <c r="P588" s="1" t="str">
        <f>IF(N588&gt;=(VLOOKUP(B588,Lembar2!$B$19:$C$24,2,FALSE)+7),"Delayed","Ontime")</f>
        <v>Ontime</v>
      </c>
      <c r="Q588" s="3">
        <f t="shared" si="66"/>
        <v>16852</v>
      </c>
      <c r="R588" s="3">
        <f t="shared" si="67"/>
        <v>16447.2</v>
      </c>
      <c r="S588" s="3">
        <f t="shared" si="68"/>
        <v>404.79999999999927</v>
      </c>
      <c r="T588">
        <f t="shared" si="69"/>
        <v>1</v>
      </c>
    </row>
    <row r="589" spans="1:20" x14ac:dyDescent="0.25">
      <c r="A589" t="s">
        <v>1392</v>
      </c>
      <c r="B589" t="s">
        <v>798</v>
      </c>
      <c r="C589" s="1">
        <v>44792</v>
      </c>
      <c r="D589" s="1">
        <f>IF(E589="",C589+VLOOKUP(B589,Lembar2!$B$19:$C$24,2,FALSE),'Procurement Dataset'!E589)</f>
        <v>44798</v>
      </c>
      <c r="E589" s="1">
        <v>44798</v>
      </c>
      <c r="F589" t="s">
        <v>799</v>
      </c>
      <c r="G589" t="s">
        <v>796</v>
      </c>
      <c r="H589" s="5">
        <v>1860</v>
      </c>
      <c r="I589" s="3">
        <v>95.8</v>
      </c>
      <c r="J589" s="3">
        <v>92.17</v>
      </c>
      <c r="K589" s="5">
        <f t="shared" si="64"/>
        <v>105</v>
      </c>
      <c r="L589">
        <v>105</v>
      </c>
      <c r="M589" t="s">
        <v>805</v>
      </c>
      <c r="N589">
        <f t="shared" si="63"/>
        <v>6</v>
      </c>
      <c r="O589" t="str">
        <f t="shared" si="65"/>
        <v>Valid</v>
      </c>
      <c r="P589" s="1" t="str">
        <f>IF(N589&gt;=(VLOOKUP(B589,Lembar2!$B$19:$C$24,2,FALSE)+7),"Delayed","Ontime")</f>
        <v>Ontime</v>
      </c>
      <c r="Q589" s="3">
        <f t="shared" si="66"/>
        <v>178188</v>
      </c>
      <c r="R589" s="3">
        <f t="shared" si="67"/>
        <v>171436.2</v>
      </c>
      <c r="S589" s="3">
        <f t="shared" si="68"/>
        <v>6751.7999999999884</v>
      </c>
      <c r="T589">
        <f t="shared" si="69"/>
        <v>1</v>
      </c>
    </row>
    <row r="590" spans="1:20" x14ac:dyDescent="0.25">
      <c r="A590" t="s">
        <v>1393</v>
      </c>
      <c r="B590" t="s">
        <v>795</v>
      </c>
      <c r="C590" s="1">
        <v>44765</v>
      </c>
      <c r="D590" s="1">
        <f>IF(E590="",C590+VLOOKUP(B590,Lembar2!$B$19:$C$24,2,FALSE),'Procurement Dataset'!E590)</f>
        <v>44782</v>
      </c>
      <c r="E590" s="1">
        <v>44782</v>
      </c>
      <c r="F590" t="s">
        <v>799</v>
      </c>
      <c r="G590" t="s">
        <v>796</v>
      </c>
      <c r="H590" s="5">
        <v>1677</v>
      </c>
      <c r="I590" s="3">
        <v>22.98</v>
      </c>
      <c r="J590" s="3">
        <v>21.71</v>
      </c>
      <c r="K590" s="5">
        <f t="shared" si="64"/>
        <v>246</v>
      </c>
      <c r="L590">
        <v>246</v>
      </c>
      <c r="M590" t="s">
        <v>793</v>
      </c>
      <c r="N590">
        <f t="shared" si="63"/>
        <v>17</v>
      </c>
      <c r="O590" t="str">
        <f t="shared" si="65"/>
        <v>Valid</v>
      </c>
      <c r="P590" s="1" t="str">
        <f>IF(N590&gt;=(VLOOKUP(B590,Lembar2!$B$19:$C$24,2,FALSE)+7),"Delayed","Ontime")</f>
        <v>Ontime</v>
      </c>
      <c r="Q590" s="3">
        <f t="shared" si="66"/>
        <v>38537.46</v>
      </c>
      <c r="R590" s="3">
        <f t="shared" si="67"/>
        <v>36407.67</v>
      </c>
      <c r="S590" s="3">
        <f t="shared" si="68"/>
        <v>2129.7900000000009</v>
      </c>
      <c r="T590">
        <f t="shared" si="69"/>
        <v>1</v>
      </c>
    </row>
    <row r="591" spans="1:20" x14ac:dyDescent="0.25">
      <c r="A591" t="s">
        <v>1394</v>
      </c>
      <c r="B591" t="s">
        <v>801</v>
      </c>
      <c r="C591" s="1">
        <v>44712</v>
      </c>
      <c r="D591" s="1">
        <f>IF(E591="",C591+VLOOKUP(B591,Lembar2!$B$19:$C$24,2,FALSE),'Procurement Dataset'!E591)</f>
        <v>44719</v>
      </c>
      <c r="E591" s="1">
        <v>44719</v>
      </c>
      <c r="F591" t="s">
        <v>802</v>
      </c>
      <c r="G591" t="s">
        <v>811</v>
      </c>
      <c r="H591" s="5">
        <v>1131</v>
      </c>
      <c r="I591" s="3">
        <v>97.43</v>
      </c>
      <c r="J591" s="3">
        <v>91.28</v>
      </c>
      <c r="K591" s="5">
        <f t="shared" si="64"/>
        <v>103</v>
      </c>
      <c r="L591">
        <v>103</v>
      </c>
      <c r="M591" t="s">
        <v>793</v>
      </c>
      <c r="N591">
        <f t="shared" si="63"/>
        <v>7</v>
      </c>
      <c r="O591" t="str">
        <f t="shared" si="65"/>
        <v>Valid</v>
      </c>
      <c r="P591" s="1" t="str">
        <f>IF(N591&gt;=(VLOOKUP(B591,Lembar2!$B$19:$C$24,2,FALSE)+7),"Delayed","Ontime")</f>
        <v>Ontime</v>
      </c>
      <c r="Q591" s="3">
        <f t="shared" si="66"/>
        <v>110193.33</v>
      </c>
      <c r="R591" s="3">
        <f t="shared" si="67"/>
        <v>103237.68000000001</v>
      </c>
      <c r="S591" s="3">
        <f t="shared" si="68"/>
        <v>6955.6499999999942</v>
      </c>
      <c r="T591">
        <f t="shared" si="69"/>
        <v>1</v>
      </c>
    </row>
    <row r="592" spans="1:20" x14ac:dyDescent="0.25">
      <c r="A592" t="s">
        <v>1395</v>
      </c>
      <c r="B592" t="s">
        <v>807</v>
      </c>
      <c r="C592" s="1">
        <v>44587</v>
      </c>
      <c r="D592" s="1">
        <f>IF(E592="",C592+VLOOKUP(B592,Lembar2!$B$19:$C$24,2,FALSE),'Procurement Dataset'!E592)</f>
        <v>44595</v>
      </c>
      <c r="E592" s="1">
        <v>44595</v>
      </c>
      <c r="F592" t="s">
        <v>804</v>
      </c>
      <c r="G592" t="s">
        <v>792</v>
      </c>
      <c r="H592" s="5">
        <v>1419</v>
      </c>
      <c r="I592" s="3">
        <v>50.14</v>
      </c>
      <c r="J592" s="3">
        <v>43.46</v>
      </c>
      <c r="K592" s="5">
        <f t="shared" si="64"/>
        <v>0</v>
      </c>
      <c r="M592" t="s">
        <v>793</v>
      </c>
      <c r="N592">
        <f t="shared" si="63"/>
        <v>8</v>
      </c>
      <c r="O592" t="str">
        <f t="shared" si="65"/>
        <v>Valid</v>
      </c>
      <c r="P592" s="1" t="str">
        <f>IF(N592&gt;=(VLOOKUP(B592,Lembar2!$B$19:$C$24,2,FALSE)+7),"Delayed","Ontime")</f>
        <v>Ontime</v>
      </c>
      <c r="Q592" s="3">
        <f t="shared" si="66"/>
        <v>71148.66</v>
      </c>
      <c r="R592" s="3">
        <f t="shared" si="67"/>
        <v>61669.74</v>
      </c>
      <c r="S592" s="3">
        <f t="shared" si="68"/>
        <v>9478.9200000000055</v>
      </c>
      <c r="T592">
        <f t="shared" si="69"/>
        <v>1</v>
      </c>
    </row>
    <row r="593" spans="1:20" x14ac:dyDescent="0.25">
      <c r="A593" t="s">
        <v>1396</v>
      </c>
      <c r="B593" t="s">
        <v>795</v>
      </c>
      <c r="C593" s="1">
        <v>44609</v>
      </c>
      <c r="D593" s="1">
        <f>IF(E593="",C593+VLOOKUP(B593,Lembar2!$B$19:$C$24,2,FALSE),'Procurement Dataset'!E593)</f>
        <v>44610</v>
      </c>
      <c r="E593" s="1">
        <v>44610</v>
      </c>
      <c r="F593" t="s">
        <v>804</v>
      </c>
      <c r="G593" t="s">
        <v>813</v>
      </c>
      <c r="H593" s="5">
        <v>790</v>
      </c>
      <c r="I593" s="3">
        <v>26.8</v>
      </c>
      <c r="J593" s="3">
        <v>25.62</v>
      </c>
      <c r="K593" s="5">
        <f t="shared" si="64"/>
        <v>115</v>
      </c>
      <c r="L593">
        <v>115</v>
      </c>
      <c r="M593" t="s">
        <v>793</v>
      </c>
      <c r="N593">
        <f t="shared" si="63"/>
        <v>1</v>
      </c>
      <c r="O593" t="str">
        <f t="shared" si="65"/>
        <v>Valid</v>
      </c>
      <c r="P593" s="1" t="str">
        <f>IF(N593&gt;=(VLOOKUP(B593,Lembar2!$B$19:$C$24,2,FALSE)+7),"Delayed","Ontime")</f>
        <v>Ontime</v>
      </c>
      <c r="Q593" s="3">
        <f t="shared" si="66"/>
        <v>21172</v>
      </c>
      <c r="R593" s="3">
        <f t="shared" si="67"/>
        <v>20239.8</v>
      </c>
      <c r="S593" s="3">
        <f t="shared" si="68"/>
        <v>932.20000000000073</v>
      </c>
      <c r="T593">
        <f t="shared" si="69"/>
        <v>1</v>
      </c>
    </row>
    <row r="594" spans="1:20" x14ac:dyDescent="0.25">
      <c r="A594" t="s">
        <v>1397</v>
      </c>
      <c r="B594" t="s">
        <v>798</v>
      </c>
      <c r="C594" s="1">
        <v>44812</v>
      </c>
      <c r="D594" s="1">
        <f>IF(E594="",C594+VLOOKUP(B594,Lembar2!$B$19:$C$24,2,FALSE),'Procurement Dataset'!E594)</f>
        <v>44831</v>
      </c>
      <c r="E594" s="1">
        <v>44831</v>
      </c>
      <c r="F594" t="s">
        <v>799</v>
      </c>
      <c r="G594" t="s">
        <v>813</v>
      </c>
      <c r="H594" s="5">
        <v>1547</v>
      </c>
      <c r="I594" s="3">
        <v>61.12</v>
      </c>
      <c r="J594" s="3">
        <v>53.43</v>
      </c>
      <c r="K594" s="5">
        <f t="shared" si="64"/>
        <v>77</v>
      </c>
      <c r="L594">
        <v>77</v>
      </c>
      <c r="M594" t="s">
        <v>793</v>
      </c>
      <c r="N594">
        <f t="shared" si="63"/>
        <v>19</v>
      </c>
      <c r="O594" t="str">
        <f t="shared" si="65"/>
        <v>Valid</v>
      </c>
      <c r="P594" s="1" t="str">
        <f>IF(N594&gt;=(VLOOKUP(B594,Lembar2!$B$19:$C$24,2,FALSE)+7),"Delayed","Ontime")</f>
        <v>Delayed</v>
      </c>
      <c r="Q594" s="3">
        <f t="shared" si="66"/>
        <v>94552.639999999999</v>
      </c>
      <c r="R594" s="3">
        <f t="shared" si="67"/>
        <v>82656.210000000006</v>
      </c>
      <c r="S594" s="3">
        <f t="shared" si="68"/>
        <v>11896.429999999993</v>
      </c>
      <c r="T594">
        <f t="shared" si="69"/>
        <v>0</v>
      </c>
    </row>
    <row r="595" spans="1:20" x14ac:dyDescent="0.25">
      <c r="A595" t="s">
        <v>1398</v>
      </c>
      <c r="B595" t="s">
        <v>795</v>
      </c>
      <c r="C595" s="1">
        <v>45048</v>
      </c>
      <c r="D595" s="1">
        <f>IF(E595="",C595+VLOOKUP(B595,Lembar2!$B$19:$C$24,2,FALSE),'Procurement Dataset'!E595)</f>
        <v>45066</v>
      </c>
      <c r="E595" s="1">
        <v>45066</v>
      </c>
      <c r="F595" t="s">
        <v>791</v>
      </c>
      <c r="G595" t="s">
        <v>792</v>
      </c>
      <c r="H595" s="5">
        <v>166</v>
      </c>
      <c r="I595" s="3">
        <v>95.65</v>
      </c>
      <c r="J595" s="3">
        <v>94.48</v>
      </c>
      <c r="K595" s="5">
        <f t="shared" si="64"/>
        <v>23</v>
      </c>
      <c r="L595">
        <v>23</v>
      </c>
      <c r="M595" t="s">
        <v>793</v>
      </c>
      <c r="N595">
        <f t="shared" si="63"/>
        <v>18</v>
      </c>
      <c r="O595" t="str">
        <f t="shared" si="65"/>
        <v>Valid</v>
      </c>
      <c r="P595" s="1" t="str">
        <f>IF(N595&gt;=(VLOOKUP(B595,Lembar2!$B$19:$C$24,2,FALSE)+7),"Delayed","Ontime")</f>
        <v>Delayed</v>
      </c>
      <c r="Q595" s="3">
        <f t="shared" si="66"/>
        <v>15877.900000000001</v>
      </c>
      <c r="R595" s="3">
        <f t="shared" si="67"/>
        <v>15683.68</v>
      </c>
      <c r="S595" s="3">
        <f t="shared" si="68"/>
        <v>194.22000000000116</v>
      </c>
      <c r="T595">
        <f t="shared" si="69"/>
        <v>0</v>
      </c>
    </row>
    <row r="596" spans="1:20" x14ac:dyDescent="0.25">
      <c r="A596" t="s">
        <v>1399</v>
      </c>
      <c r="B596" t="s">
        <v>790</v>
      </c>
      <c r="C596" s="1">
        <v>45187</v>
      </c>
      <c r="D596" s="1">
        <f>IF(E596="",C596+VLOOKUP(B596,Lembar2!$B$19:$C$24,2,FALSE),'Procurement Dataset'!E596)</f>
        <v>45190</v>
      </c>
      <c r="E596" s="1">
        <v>45190</v>
      </c>
      <c r="F596" t="s">
        <v>817</v>
      </c>
      <c r="G596" t="s">
        <v>796</v>
      </c>
      <c r="H596" s="5">
        <v>1903</v>
      </c>
      <c r="I596" s="3">
        <v>83.49</v>
      </c>
      <c r="J596" s="3">
        <v>82.33</v>
      </c>
      <c r="K596" s="5">
        <f t="shared" si="64"/>
        <v>43</v>
      </c>
      <c r="L596">
        <v>43</v>
      </c>
      <c r="M596" t="s">
        <v>793</v>
      </c>
      <c r="N596">
        <f t="shared" si="63"/>
        <v>3</v>
      </c>
      <c r="O596" t="str">
        <f t="shared" si="65"/>
        <v>Valid</v>
      </c>
      <c r="P596" s="1" t="str">
        <f>IF(N596&gt;=(VLOOKUP(B596,Lembar2!$B$19:$C$24,2,FALSE)+7),"Delayed","Ontime")</f>
        <v>Ontime</v>
      </c>
      <c r="Q596" s="3">
        <f t="shared" si="66"/>
        <v>158881.47</v>
      </c>
      <c r="R596" s="3">
        <f t="shared" si="67"/>
        <v>156673.99</v>
      </c>
      <c r="S596" s="3">
        <f t="shared" si="68"/>
        <v>2207.4800000000105</v>
      </c>
      <c r="T596">
        <f t="shared" si="69"/>
        <v>1</v>
      </c>
    </row>
    <row r="597" spans="1:20" x14ac:dyDescent="0.25">
      <c r="A597" t="s">
        <v>1400</v>
      </c>
      <c r="B597" t="s">
        <v>795</v>
      </c>
      <c r="C597" s="1">
        <v>44636</v>
      </c>
      <c r="D597" s="1">
        <f>IF(E597="",C597+VLOOKUP(B597,Lembar2!$B$19:$C$24,2,FALSE),'Procurement Dataset'!E597)</f>
        <v>44649</v>
      </c>
      <c r="E597" s="1">
        <v>44649</v>
      </c>
      <c r="F597" t="s">
        <v>791</v>
      </c>
      <c r="G597" t="s">
        <v>811</v>
      </c>
      <c r="H597" s="5">
        <v>840</v>
      </c>
      <c r="I597" s="3">
        <v>83.42</v>
      </c>
      <c r="J597" s="3">
        <v>80.349999999999994</v>
      </c>
      <c r="K597" s="5">
        <f t="shared" si="64"/>
        <v>153</v>
      </c>
      <c r="L597">
        <v>153</v>
      </c>
      <c r="M597" t="s">
        <v>793</v>
      </c>
      <c r="N597">
        <f t="shared" si="63"/>
        <v>13</v>
      </c>
      <c r="O597" t="str">
        <f t="shared" si="65"/>
        <v>Valid</v>
      </c>
      <c r="P597" s="1" t="str">
        <f>IF(N597&gt;=(VLOOKUP(B597,Lembar2!$B$19:$C$24,2,FALSE)+7),"Delayed","Ontime")</f>
        <v>Ontime</v>
      </c>
      <c r="Q597" s="3">
        <f t="shared" si="66"/>
        <v>70072.800000000003</v>
      </c>
      <c r="R597" s="3">
        <f t="shared" si="67"/>
        <v>67494</v>
      </c>
      <c r="S597" s="3">
        <f t="shared" si="68"/>
        <v>2578.8000000000029</v>
      </c>
      <c r="T597">
        <f t="shared" si="69"/>
        <v>1</v>
      </c>
    </row>
    <row r="598" spans="1:20" x14ac:dyDescent="0.25">
      <c r="A598" t="s">
        <v>1401</v>
      </c>
      <c r="B598" t="s">
        <v>795</v>
      </c>
      <c r="C598" s="1">
        <v>45028</v>
      </c>
      <c r="D598" s="1">
        <f>IF(E598="",C598+VLOOKUP(B598,Lembar2!$B$19:$C$24,2,FALSE),'Procurement Dataset'!E598)</f>
        <v>45039</v>
      </c>
      <c r="F598" t="s">
        <v>799</v>
      </c>
      <c r="G598" t="s">
        <v>796</v>
      </c>
      <c r="H598" s="5">
        <v>1200</v>
      </c>
      <c r="I598" s="3">
        <v>74.489999999999995</v>
      </c>
      <c r="J598" s="3">
        <v>64.63</v>
      </c>
      <c r="K598" s="5">
        <f t="shared" si="64"/>
        <v>161</v>
      </c>
      <c r="L598">
        <v>161</v>
      </c>
      <c r="M598" t="s">
        <v>793</v>
      </c>
      <c r="N598" t="str">
        <f t="shared" si="63"/>
        <v/>
      </c>
      <c r="O598" t="str">
        <f t="shared" si="65"/>
        <v>Valid</v>
      </c>
      <c r="P598" s="1" t="str">
        <f>IF(N598&gt;=(VLOOKUP(B598,Lembar2!$B$19:$C$24,2,FALSE)+7),"Delayed","Ontime")</f>
        <v>Delayed</v>
      </c>
      <c r="Q598" s="3">
        <f t="shared" si="66"/>
        <v>89388</v>
      </c>
      <c r="R598" s="3">
        <f t="shared" si="67"/>
        <v>77556</v>
      </c>
      <c r="S598" s="3">
        <f t="shared" si="68"/>
        <v>11832</v>
      </c>
      <c r="T598">
        <f t="shared" si="69"/>
        <v>0</v>
      </c>
    </row>
    <row r="599" spans="1:20" x14ac:dyDescent="0.25">
      <c r="A599" t="s">
        <v>1402</v>
      </c>
      <c r="B599" t="s">
        <v>798</v>
      </c>
      <c r="C599" s="1">
        <v>44986</v>
      </c>
      <c r="D599" s="1">
        <f>IF(E599="",C599+VLOOKUP(B599,Lembar2!$B$19:$C$24,2,FALSE),'Procurement Dataset'!E599)</f>
        <v>45003</v>
      </c>
      <c r="E599" s="1">
        <v>45003</v>
      </c>
      <c r="F599" t="s">
        <v>804</v>
      </c>
      <c r="G599" t="s">
        <v>796</v>
      </c>
      <c r="H599" s="5">
        <v>1466</v>
      </c>
      <c r="I599" s="3">
        <v>77.37</v>
      </c>
      <c r="J599" s="3">
        <v>70.349999999999994</v>
      </c>
      <c r="K599" s="5">
        <f t="shared" si="64"/>
        <v>72</v>
      </c>
      <c r="L599">
        <v>72</v>
      </c>
      <c r="M599" t="s">
        <v>793</v>
      </c>
      <c r="N599">
        <f t="shared" si="63"/>
        <v>17</v>
      </c>
      <c r="O599" t="str">
        <f t="shared" si="65"/>
        <v>Valid</v>
      </c>
      <c r="P599" s="1" t="str">
        <f>IF(N599&gt;=(VLOOKUP(B599,Lembar2!$B$19:$C$24,2,FALSE)+7),"Delayed","Ontime")</f>
        <v>Delayed</v>
      </c>
      <c r="Q599" s="3">
        <f t="shared" si="66"/>
        <v>113424.42000000001</v>
      </c>
      <c r="R599" s="3">
        <f t="shared" si="67"/>
        <v>103133.09999999999</v>
      </c>
      <c r="S599" s="3">
        <f t="shared" si="68"/>
        <v>10291.320000000022</v>
      </c>
      <c r="T599">
        <f t="shared" si="69"/>
        <v>0</v>
      </c>
    </row>
    <row r="600" spans="1:20" x14ac:dyDescent="0.25">
      <c r="A600" t="s">
        <v>1403</v>
      </c>
      <c r="B600" t="s">
        <v>790</v>
      </c>
      <c r="C600" s="1">
        <v>45206</v>
      </c>
      <c r="D600" s="1">
        <f>IF(E600="",C600+VLOOKUP(B600,Lembar2!$B$19:$C$24,2,FALSE),'Procurement Dataset'!E600)</f>
        <v>45220</v>
      </c>
      <c r="E600" s="1">
        <v>45220</v>
      </c>
      <c r="F600" t="s">
        <v>791</v>
      </c>
      <c r="G600" t="s">
        <v>796</v>
      </c>
      <c r="H600" s="5">
        <v>1981</v>
      </c>
      <c r="I600" s="3">
        <v>95.5</v>
      </c>
      <c r="J600" s="3">
        <v>94.39</v>
      </c>
      <c r="K600" s="5">
        <f t="shared" si="64"/>
        <v>49</v>
      </c>
      <c r="L600">
        <v>49</v>
      </c>
      <c r="M600" t="s">
        <v>793</v>
      </c>
      <c r="N600">
        <f t="shared" si="63"/>
        <v>14</v>
      </c>
      <c r="O600" t="str">
        <f t="shared" si="65"/>
        <v>Valid</v>
      </c>
      <c r="P600" s="1" t="str">
        <f>IF(N600&gt;=(VLOOKUP(B600,Lembar2!$B$19:$C$24,2,FALSE)+7),"Delayed","Ontime")</f>
        <v>Ontime</v>
      </c>
      <c r="Q600" s="3">
        <f t="shared" si="66"/>
        <v>189185.5</v>
      </c>
      <c r="R600" s="3">
        <f t="shared" si="67"/>
        <v>186986.59</v>
      </c>
      <c r="S600" s="3">
        <f t="shared" si="68"/>
        <v>2198.9100000000035</v>
      </c>
      <c r="T600">
        <f t="shared" si="69"/>
        <v>1</v>
      </c>
    </row>
    <row r="601" spans="1:20" x14ac:dyDescent="0.25">
      <c r="A601" t="s">
        <v>1404</v>
      </c>
      <c r="B601" t="s">
        <v>798</v>
      </c>
      <c r="C601" s="1">
        <v>45151</v>
      </c>
      <c r="D601" s="1">
        <f>IF(E601="",C601+VLOOKUP(B601,Lembar2!$B$19:$C$24,2,FALSE),'Procurement Dataset'!E601)</f>
        <v>45154</v>
      </c>
      <c r="E601" s="1">
        <v>45154</v>
      </c>
      <c r="F601" t="s">
        <v>802</v>
      </c>
      <c r="G601" t="s">
        <v>796</v>
      </c>
      <c r="H601" s="5">
        <v>1062</v>
      </c>
      <c r="I601" s="3">
        <v>35.549999999999997</v>
      </c>
      <c r="J601" s="3">
        <v>32.380000000000003</v>
      </c>
      <c r="K601" s="5">
        <f t="shared" si="64"/>
        <v>0</v>
      </c>
      <c r="M601" t="s">
        <v>793</v>
      </c>
      <c r="N601">
        <f t="shared" si="63"/>
        <v>3</v>
      </c>
      <c r="O601" t="str">
        <f t="shared" si="65"/>
        <v>Valid</v>
      </c>
      <c r="P601" s="1" t="str">
        <f>IF(N601&gt;=(VLOOKUP(B601,Lembar2!$B$19:$C$24,2,FALSE)+7),"Delayed","Ontime")</f>
        <v>Ontime</v>
      </c>
      <c r="Q601" s="3">
        <f t="shared" si="66"/>
        <v>37754.1</v>
      </c>
      <c r="R601" s="3">
        <f t="shared" si="67"/>
        <v>34387.560000000005</v>
      </c>
      <c r="S601" s="3">
        <f t="shared" si="68"/>
        <v>3366.5399999999936</v>
      </c>
      <c r="T601">
        <f t="shared" si="69"/>
        <v>1</v>
      </c>
    </row>
    <row r="602" spans="1:20" x14ac:dyDescent="0.25">
      <c r="A602" t="s">
        <v>1405</v>
      </c>
      <c r="B602" t="s">
        <v>790</v>
      </c>
      <c r="C602" s="1">
        <v>44761</v>
      </c>
      <c r="D602" s="1">
        <f>IF(E602="",C602+VLOOKUP(B602,Lembar2!$B$19:$C$24,2,FALSE),'Procurement Dataset'!E602)</f>
        <v>44772</v>
      </c>
      <c r="E602" s="1">
        <v>44772</v>
      </c>
      <c r="F602" t="s">
        <v>799</v>
      </c>
      <c r="G602" t="s">
        <v>796</v>
      </c>
      <c r="H602" s="5">
        <v>1714</v>
      </c>
      <c r="I602" s="3">
        <v>55.67</v>
      </c>
      <c r="J602" s="3">
        <v>55.09</v>
      </c>
      <c r="K602" s="5">
        <f t="shared" si="64"/>
        <v>42</v>
      </c>
      <c r="L602">
        <v>42</v>
      </c>
      <c r="M602" t="s">
        <v>793</v>
      </c>
      <c r="N602">
        <f t="shared" si="63"/>
        <v>11</v>
      </c>
      <c r="O602" t="str">
        <f t="shared" si="65"/>
        <v>Valid</v>
      </c>
      <c r="P602" s="1" t="str">
        <f>IF(N602&gt;=(VLOOKUP(B602,Lembar2!$B$19:$C$24,2,FALSE)+7),"Delayed","Ontime")</f>
        <v>Ontime</v>
      </c>
      <c r="Q602" s="3">
        <f t="shared" si="66"/>
        <v>95418.38</v>
      </c>
      <c r="R602" s="3">
        <f t="shared" si="67"/>
        <v>94424.260000000009</v>
      </c>
      <c r="S602" s="3">
        <f t="shared" si="68"/>
        <v>994.11999999999534</v>
      </c>
      <c r="T602">
        <f t="shared" si="69"/>
        <v>1</v>
      </c>
    </row>
    <row r="603" spans="1:20" x14ac:dyDescent="0.25">
      <c r="A603" t="s">
        <v>1406</v>
      </c>
      <c r="B603" t="s">
        <v>790</v>
      </c>
      <c r="C603" s="1">
        <v>45275</v>
      </c>
      <c r="D603" s="1">
        <f>IF(E603="",C603+VLOOKUP(B603,Lembar2!$B$19:$C$24,2,FALSE),'Procurement Dataset'!E603)</f>
        <v>45290</v>
      </c>
      <c r="E603" s="1">
        <v>45290</v>
      </c>
      <c r="F603" t="s">
        <v>791</v>
      </c>
      <c r="G603" t="s">
        <v>796</v>
      </c>
      <c r="H603" s="5">
        <v>1131</v>
      </c>
      <c r="I603" s="3">
        <v>33.35</v>
      </c>
      <c r="J603" s="3">
        <v>31.28</v>
      </c>
      <c r="K603" s="5">
        <f t="shared" si="64"/>
        <v>23</v>
      </c>
      <c r="L603">
        <v>23</v>
      </c>
      <c r="M603" t="s">
        <v>793</v>
      </c>
      <c r="N603">
        <f t="shared" si="63"/>
        <v>15</v>
      </c>
      <c r="O603" t="str">
        <f t="shared" si="65"/>
        <v>Valid</v>
      </c>
      <c r="P603" s="1" t="str">
        <f>IF(N603&gt;=(VLOOKUP(B603,Lembar2!$B$19:$C$24,2,FALSE)+7),"Delayed","Ontime")</f>
        <v>Ontime</v>
      </c>
      <c r="Q603" s="3">
        <f t="shared" si="66"/>
        <v>37718.85</v>
      </c>
      <c r="R603" s="3">
        <f t="shared" si="67"/>
        <v>35377.68</v>
      </c>
      <c r="S603" s="3">
        <f t="shared" si="68"/>
        <v>2341.1699999999983</v>
      </c>
      <c r="T603">
        <f t="shared" si="69"/>
        <v>1</v>
      </c>
    </row>
    <row r="604" spans="1:20" x14ac:dyDescent="0.25">
      <c r="A604" t="s">
        <v>1407</v>
      </c>
      <c r="B604" t="s">
        <v>790</v>
      </c>
      <c r="C604" s="1">
        <v>44955</v>
      </c>
      <c r="D604" s="1">
        <f>IF(E604="",C604+VLOOKUP(B604,Lembar2!$B$19:$C$24,2,FALSE),'Procurement Dataset'!E604)</f>
        <v>44972</v>
      </c>
      <c r="E604" s="1">
        <v>44972</v>
      </c>
      <c r="F604" t="s">
        <v>791</v>
      </c>
      <c r="G604" t="s">
        <v>796</v>
      </c>
      <c r="H604" s="5">
        <v>683</v>
      </c>
      <c r="I604" s="3">
        <v>104.82</v>
      </c>
      <c r="J604" s="3">
        <v>101.34</v>
      </c>
      <c r="K604" s="5">
        <f t="shared" si="64"/>
        <v>0</v>
      </c>
      <c r="M604" t="s">
        <v>793</v>
      </c>
      <c r="N604">
        <f t="shared" si="63"/>
        <v>17</v>
      </c>
      <c r="O604" t="str">
        <f t="shared" si="65"/>
        <v>Valid</v>
      </c>
      <c r="P604" s="1" t="str">
        <f>IF(N604&gt;=(VLOOKUP(B604,Lembar2!$B$19:$C$24,2,FALSE)+7),"Delayed","Ontime")</f>
        <v>Ontime</v>
      </c>
      <c r="Q604" s="3">
        <f t="shared" si="66"/>
        <v>71592.06</v>
      </c>
      <c r="R604" s="3">
        <f t="shared" si="67"/>
        <v>69215.22</v>
      </c>
      <c r="S604" s="3">
        <f t="shared" si="68"/>
        <v>2376.8399999999965</v>
      </c>
      <c r="T604">
        <f t="shared" si="69"/>
        <v>1</v>
      </c>
    </row>
    <row r="605" spans="1:20" x14ac:dyDescent="0.25">
      <c r="A605" t="s">
        <v>1408</v>
      </c>
      <c r="B605" t="s">
        <v>798</v>
      </c>
      <c r="C605" s="1">
        <v>45068</v>
      </c>
      <c r="D605" s="1">
        <f>IF(E605="",C605+VLOOKUP(B605,Lembar2!$B$19:$C$24,2,FALSE),'Procurement Dataset'!E605)</f>
        <v>45086</v>
      </c>
      <c r="E605" s="1">
        <v>45086</v>
      </c>
      <c r="F605" t="s">
        <v>802</v>
      </c>
      <c r="G605" t="s">
        <v>811</v>
      </c>
      <c r="H605" s="5">
        <v>562</v>
      </c>
      <c r="I605" s="3">
        <v>102.56</v>
      </c>
      <c r="J605" s="3">
        <v>90.88</v>
      </c>
      <c r="K605" s="5">
        <f t="shared" si="64"/>
        <v>38</v>
      </c>
      <c r="L605">
        <v>38</v>
      </c>
      <c r="M605" t="s">
        <v>793</v>
      </c>
      <c r="N605">
        <f t="shared" si="63"/>
        <v>18</v>
      </c>
      <c r="O605" t="str">
        <f t="shared" si="65"/>
        <v>Valid</v>
      </c>
      <c r="P605" s="1" t="str">
        <f>IF(N605&gt;=(VLOOKUP(B605,Lembar2!$B$19:$C$24,2,FALSE)+7),"Delayed","Ontime")</f>
        <v>Delayed</v>
      </c>
      <c r="Q605" s="3">
        <f t="shared" si="66"/>
        <v>57638.720000000001</v>
      </c>
      <c r="R605" s="3">
        <f t="shared" si="67"/>
        <v>51074.559999999998</v>
      </c>
      <c r="S605" s="3">
        <f t="shared" si="68"/>
        <v>6564.1600000000035</v>
      </c>
      <c r="T605">
        <f t="shared" si="69"/>
        <v>0</v>
      </c>
    </row>
    <row r="606" spans="1:20" x14ac:dyDescent="0.25">
      <c r="A606" t="s">
        <v>1409</v>
      </c>
      <c r="B606" t="s">
        <v>790</v>
      </c>
      <c r="C606" s="1">
        <v>44971</v>
      </c>
      <c r="D606" s="1">
        <f>IF(E606="",C606+VLOOKUP(B606,Lembar2!$B$19:$C$24,2,FALSE),'Procurement Dataset'!E606)</f>
        <v>44977</v>
      </c>
      <c r="E606" s="1">
        <v>44977</v>
      </c>
      <c r="F606" t="s">
        <v>817</v>
      </c>
      <c r="G606" t="s">
        <v>796</v>
      </c>
      <c r="H606" s="5">
        <v>1824</v>
      </c>
      <c r="I606" s="3">
        <v>14.43</v>
      </c>
      <c r="J606" s="3">
        <v>14.11</v>
      </c>
      <c r="K606" s="5">
        <f t="shared" si="64"/>
        <v>36</v>
      </c>
      <c r="L606">
        <v>36</v>
      </c>
      <c r="M606" t="s">
        <v>793</v>
      </c>
      <c r="N606">
        <f t="shared" si="63"/>
        <v>6</v>
      </c>
      <c r="O606" t="str">
        <f t="shared" si="65"/>
        <v>Valid</v>
      </c>
      <c r="P606" s="1" t="str">
        <f>IF(N606&gt;=(VLOOKUP(B606,Lembar2!$B$19:$C$24,2,FALSE)+7),"Delayed","Ontime")</f>
        <v>Ontime</v>
      </c>
      <c r="Q606" s="3">
        <f t="shared" si="66"/>
        <v>26320.32</v>
      </c>
      <c r="R606" s="3">
        <f t="shared" si="67"/>
        <v>25736.639999999999</v>
      </c>
      <c r="S606" s="3">
        <f t="shared" si="68"/>
        <v>583.68000000000029</v>
      </c>
      <c r="T606">
        <f t="shared" si="69"/>
        <v>1</v>
      </c>
    </row>
    <row r="607" spans="1:20" x14ac:dyDescent="0.25">
      <c r="A607" t="s">
        <v>1410</v>
      </c>
      <c r="B607" t="s">
        <v>801</v>
      </c>
      <c r="C607" s="1">
        <v>44811</v>
      </c>
      <c r="D607" s="1">
        <f>IF(E607="",C607+VLOOKUP(B607,Lembar2!$B$19:$C$24,2,FALSE),'Procurement Dataset'!E607)</f>
        <v>44816</v>
      </c>
      <c r="E607" s="1">
        <v>44816</v>
      </c>
      <c r="F607" t="s">
        <v>817</v>
      </c>
      <c r="G607" t="s">
        <v>811</v>
      </c>
      <c r="H607" s="5">
        <v>851</v>
      </c>
      <c r="I607" s="3">
        <v>76.44</v>
      </c>
      <c r="J607" s="3">
        <v>74.760000000000005</v>
      </c>
      <c r="K607" s="5">
        <f t="shared" si="64"/>
        <v>91</v>
      </c>
      <c r="L607">
        <v>91</v>
      </c>
      <c r="M607" t="s">
        <v>793</v>
      </c>
      <c r="N607">
        <f t="shared" si="63"/>
        <v>5</v>
      </c>
      <c r="O607" t="str">
        <f t="shared" si="65"/>
        <v>Valid</v>
      </c>
      <c r="P607" s="1" t="str">
        <f>IF(N607&gt;=(VLOOKUP(B607,Lembar2!$B$19:$C$24,2,FALSE)+7),"Delayed","Ontime")</f>
        <v>Ontime</v>
      </c>
      <c r="Q607" s="3">
        <f t="shared" si="66"/>
        <v>65050.439999999995</v>
      </c>
      <c r="R607" s="3">
        <f t="shared" si="67"/>
        <v>63620.76</v>
      </c>
      <c r="S607" s="3">
        <f t="shared" si="68"/>
        <v>1429.679999999993</v>
      </c>
      <c r="T607">
        <f t="shared" si="69"/>
        <v>1</v>
      </c>
    </row>
    <row r="608" spans="1:20" x14ac:dyDescent="0.25">
      <c r="A608" t="s">
        <v>1411</v>
      </c>
      <c r="B608" t="s">
        <v>801</v>
      </c>
      <c r="C608" s="1">
        <v>44713</v>
      </c>
      <c r="D608" s="1">
        <f>IF(E608="",C608+VLOOKUP(B608,Lembar2!$B$19:$C$24,2,FALSE),'Procurement Dataset'!E608)</f>
        <v>44715</v>
      </c>
      <c r="E608" s="1">
        <v>44715</v>
      </c>
      <c r="F608" t="s">
        <v>791</v>
      </c>
      <c r="G608" t="s">
        <v>796</v>
      </c>
      <c r="H608" s="5">
        <v>1169</v>
      </c>
      <c r="I608" s="3">
        <v>95.6</v>
      </c>
      <c r="J608" s="3">
        <v>82.16</v>
      </c>
      <c r="K608" s="5">
        <f t="shared" si="64"/>
        <v>103</v>
      </c>
      <c r="L608">
        <v>103</v>
      </c>
      <c r="M608" t="s">
        <v>793</v>
      </c>
      <c r="N608">
        <f t="shared" si="63"/>
        <v>2</v>
      </c>
      <c r="O608" t="str">
        <f t="shared" si="65"/>
        <v>Valid</v>
      </c>
      <c r="P608" s="1" t="str">
        <f>IF(N608&gt;=(VLOOKUP(B608,Lembar2!$B$19:$C$24,2,FALSE)+7),"Delayed","Ontime")</f>
        <v>Ontime</v>
      </c>
      <c r="Q608" s="3">
        <f t="shared" si="66"/>
        <v>111756.4</v>
      </c>
      <c r="R608" s="3">
        <f t="shared" si="67"/>
        <v>96045.04</v>
      </c>
      <c r="S608" s="3">
        <f t="shared" si="68"/>
        <v>15711.36</v>
      </c>
      <c r="T608">
        <f t="shared" si="69"/>
        <v>1</v>
      </c>
    </row>
    <row r="609" spans="1:20" x14ac:dyDescent="0.25">
      <c r="A609" t="s">
        <v>1412</v>
      </c>
      <c r="B609" t="s">
        <v>807</v>
      </c>
      <c r="C609" s="1">
        <v>45233</v>
      </c>
      <c r="D609" s="1">
        <f>IF(E609="",C609+VLOOKUP(B609,Lembar2!$B$19:$C$24,2,FALSE),'Procurement Dataset'!E609)</f>
        <v>45250</v>
      </c>
      <c r="E609" s="1">
        <v>45250</v>
      </c>
      <c r="F609" t="s">
        <v>799</v>
      </c>
      <c r="G609" t="s">
        <v>796</v>
      </c>
      <c r="H609" s="5">
        <v>1711</v>
      </c>
      <c r="I609" s="3">
        <v>29.14</v>
      </c>
      <c r="J609" s="3">
        <v>26.35</v>
      </c>
      <c r="K609" s="5">
        <f t="shared" si="64"/>
        <v>48</v>
      </c>
      <c r="L609">
        <v>48</v>
      </c>
      <c r="M609" t="s">
        <v>793</v>
      </c>
      <c r="N609">
        <f t="shared" si="63"/>
        <v>17</v>
      </c>
      <c r="O609" t="str">
        <f t="shared" si="65"/>
        <v>Valid</v>
      </c>
      <c r="P609" s="1" t="str">
        <f>IF(N609&gt;=(VLOOKUP(B609,Lembar2!$B$19:$C$24,2,FALSE)+7),"Delayed","Ontime")</f>
        <v>Ontime</v>
      </c>
      <c r="Q609" s="3">
        <f t="shared" si="66"/>
        <v>49858.54</v>
      </c>
      <c r="R609" s="3">
        <f t="shared" si="67"/>
        <v>45084.850000000006</v>
      </c>
      <c r="S609" s="3">
        <f t="shared" si="68"/>
        <v>4773.6899999999951</v>
      </c>
      <c r="T609">
        <f t="shared" si="69"/>
        <v>1</v>
      </c>
    </row>
    <row r="610" spans="1:20" x14ac:dyDescent="0.25">
      <c r="A610" t="s">
        <v>1413</v>
      </c>
      <c r="B610" t="s">
        <v>801</v>
      </c>
      <c r="C610" s="1">
        <v>45266</v>
      </c>
      <c r="D610" s="1">
        <f>IF(E610="",C610+VLOOKUP(B610,Lembar2!$B$19:$C$24,2,FALSE),'Procurement Dataset'!E610)</f>
        <v>45272</v>
      </c>
      <c r="E610" s="1">
        <v>45272</v>
      </c>
      <c r="F610" t="s">
        <v>802</v>
      </c>
      <c r="G610" t="s">
        <v>813</v>
      </c>
      <c r="H610" s="5">
        <v>1191</v>
      </c>
      <c r="I610" s="3">
        <v>68.14</v>
      </c>
      <c r="J610" s="3">
        <v>61.71</v>
      </c>
      <c r="K610" s="5">
        <f t="shared" si="64"/>
        <v>112</v>
      </c>
      <c r="L610">
        <v>112</v>
      </c>
      <c r="M610" t="s">
        <v>793</v>
      </c>
      <c r="N610">
        <f t="shared" si="63"/>
        <v>6</v>
      </c>
      <c r="O610" t="str">
        <f t="shared" si="65"/>
        <v>Valid</v>
      </c>
      <c r="P610" s="1" t="str">
        <f>IF(N610&gt;=(VLOOKUP(B610,Lembar2!$B$19:$C$24,2,FALSE)+7),"Delayed","Ontime")</f>
        <v>Ontime</v>
      </c>
      <c r="Q610" s="3">
        <f t="shared" si="66"/>
        <v>81154.740000000005</v>
      </c>
      <c r="R610" s="3">
        <f t="shared" si="67"/>
        <v>73496.61</v>
      </c>
      <c r="S610" s="3">
        <f t="shared" si="68"/>
        <v>7658.1300000000047</v>
      </c>
      <c r="T610">
        <f t="shared" si="69"/>
        <v>1</v>
      </c>
    </row>
    <row r="611" spans="1:20" x14ac:dyDescent="0.25">
      <c r="A611" t="s">
        <v>1414</v>
      </c>
      <c r="B611" t="s">
        <v>807</v>
      </c>
      <c r="C611" s="1">
        <v>44567</v>
      </c>
      <c r="D611" s="1">
        <f>IF(E611="",C611+VLOOKUP(B611,Lembar2!$B$19:$C$24,2,FALSE),'Procurement Dataset'!E611)</f>
        <v>44575</v>
      </c>
      <c r="E611" s="1">
        <v>44575</v>
      </c>
      <c r="F611" t="s">
        <v>817</v>
      </c>
      <c r="G611" t="s">
        <v>796</v>
      </c>
      <c r="H611" s="5">
        <v>609</v>
      </c>
      <c r="I611" s="3">
        <v>92.39</v>
      </c>
      <c r="J611" s="3">
        <v>82.75</v>
      </c>
      <c r="K611" s="5">
        <f t="shared" si="64"/>
        <v>29</v>
      </c>
      <c r="L611">
        <v>29</v>
      </c>
      <c r="M611" t="s">
        <v>793</v>
      </c>
      <c r="N611">
        <f t="shared" si="63"/>
        <v>8</v>
      </c>
      <c r="O611" t="str">
        <f t="shared" si="65"/>
        <v>Valid</v>
      </c>
      <c r="P611" s="1" t="str">
        <f>IF(N611&gt;=(VLOOKUP(B611,Lembar2!$B$19:$C$24,2,FALSE)+7),"Delayed","Ontime")</f>
        <v>Ontime</v>
      </c>
      <c r="Q611" s="3">
        <f t="shared" si="66"/>
        <v>56265.51</v>
      </c>
      <c r="R611" s="3">
        <f t="shared" si="67"/>
        <v>50394.75</v>
      </c>
      <c r="S611" s="3">
        <f t="shared" si="68"/>
        <v>5870.760000000002</v>
      </c>
      <c r="T611">
        <f t="shared" si="69"/>
        <v>1</v>
      </c>
    </row>
    <row r="612" spans="1:20" x14ac:dyDescent="0.25">
      <c r="A612" t="s">
        <v>1415</v>
      </c>
      <c r="B612" t="s">
        <v>801</v>
      </c>
      <c r="C612" s="1">
        <v>44671</v>
      </c>
      <c r="D612" s="1">
        <f>IF(E612="",C612+VLOOKUP(B612,Lembar2!$B$19:$C$24,2,FALSE),'Procurement Dataset'!E612)</f>
        <v>44688</v>
      </c>
      <c r="E612" s="1">
        <v>44688</v>
      </c>
      <c r="F612" t="s">
        <v>791</v>
      </c>
      <c r="G612" t="s">
        <v>796</v>
      </c>
      <c r="H612" s="5">
        <v>1674</v>
      </c>
      <c r="I612" s="3">
        <v>13.25</v>
      </c>
      <c r="J612" s="3">
        <v>11.77</v>
      </c>
      <c r="K612" s="5">
        <f t="shared" si="64"/>
        <v>181</v>
      </c>
      <c r="L612">
        <v>181</v>
      </c>
      <c r="M612" t="s">
        <v>793</v>
      </c>
      <c r="N612">
        <f t="shared" si="63"/>
        <v>17</v>
      </c>
      <c r="O612" t="str">
        <f t="shared" si="65"/>
        <v>Valid</v>
      </c>
      <c r="P612" s="1" t="str">
        <f>IF(N612&gt;=(VLOOKUP(B612,Lembar2!$B$19:$C$24,2,FALSE)+7),"Delayed","Ontime")</f>
        <v>Ontime</v>
      </c>
      <c r="Q612" s="3">
        <f t="shared" si="66"/>
        <v>22180.5</v>
      </c>
      <c r="R612" s="3">
        <f t="shared" si="67"/>
        <v>19702.98</v>
      </c>
      <c r="S612" s="3">
        <f t="shared" si="68"/>
        <v>2477.5200000000004</v>
      </c>
      <c r="T612">
        <f t="shared" si="69"/>
        <v>1</v>
      </c>
    </row>
    <row r="613" spans="1:20" x14ac:dyDescent="0.25">
      <c r="A613" t="s">
        <v>1416</v>
      </c>
      <c r="B613" t="s">
        <v>798</v>
      </c>
      <c r="C613" s="1">
        <v>44997</v>
      </c>
      <c r="D613" s="1">
        <f>IF(E613="",C613+VLOOKUP(B613,Lembar2!$B$19:$C$24,2,FALSE),'Procurement Dataset'!E613)</f>
        <v>45000</v>
      </c>
      <c r="E613" s="1">
        <v>45000</v>
      </c>
      <c r="F613" t="s">
        <v>799</v>
      </c>
      <c r="G613" t="s">
        <v>796</v>
      </c>
      <c r="H613" s="5">
        <v>537</v>
      </c>
      <c r="I613" s="3">
        <v>77.86</v>
      </c>
      <c r="J613" s="3">
        <v>71.180000000000007</v>
      </c>
      <c r="K613" s="5">
        <f t="shared" si="64"/>
        <v>20</v>
      </c>
      <c r="L613">
        <v>20</v>
      </c>
      <c r="M613" t="s">
        <v>793</v>
      </c>
      <c r="N613">
        <f t="shared" si="63"/>
        <v>3</v>
      </c>
      <c r="O613" t="str">
        <f t="shared" si="65"/>
        <v>Valid</v>
      </c>
      <c r="P613" s="1" t="str">
        <f>IF(N613&gt;=(VLOOKUP(B613,Lembar2!$B$19:$C$24,2,FALSE)+7),"Delayed","Ontime")</f>
        <v>Ontime</v>
      </c>
      <c r="Q613" s="3">
        <f t="shared" si="66"/>
        <v>41810.82</v>
      </c>
      <c r="R613" s="3">
        <f t="shared" si="67"/>
        <v>38223.660000000003</v>
      </c>
      <c r="S613" s="3">
        <f t="shared" si="68"/>
        <v>3587.1599999999962</v>
      </c>
      <c r="T613">
        <f t="shared" si="69"/>
        <v>1</v>
      </c>
    </row>
    <row r="614" spans="1:20" x14ac:dyDescent="0.25">
      <c r="A614" t="s">
        <v>1417</v>
      </c>
      <c r="B614" t="s">
        <v>807</v>
      </c>
      <c r="C614" s="1">
        <v>44786</v>
      </c>
      <c r="D614" s="1">
        <f>IF(E614="",C614+VLOOKUP(B614,Lembar2!$B$19:$C$24,2,FALSE),'Procurement Dataset'!E614)</f>
        <v>44804</v>
      </c>
      <c r="E614" s="1">
        <v>44804</v>
      </c>
      <c r="F614" t="s">
        <v>817</v>
      </c>
      <c r="G614" t="s">
        <v>796</v>
      </c>
      <c r="H614" s="5">
        <v>1310</v>
      </c>
      <c r="I614" s="3">
        <v>38.049999999999997</v>
      </c>
      <c r="J614" s="3">
        <v>37</v>
      </c>
      <c r="K614" s="5">
        <f t="shared" si="64"/>
        <v>45</v>
      </c>
      <c r="L614">
        <v>45</v>
      </c>
      <c r="M614" t="s">
        <v>793</v>
      </c>
      <c r="N614">
        <f t="shared" si="63"/>
        <v>18</v>
      </c>
      <c r="O614" t="str">
        <f t="shared" si="65"/>
        <v>Valid</v>
      </c>
      <c r="P614" s="1" t="str">
        <f>IF(N614&gt;=(VLOOKUP(B614,Lembar2!$B$19:$C$24,2,FALSE)+7),"Delayed","Ontime")</f>
        <v>Delayed</v>
      </c>
      <c r="Q614" s="3">
        <f t="shared" si="66"/>
        <v>49845.499999999993</v>
      </c>
      <c r="R614" s="3">
        <f t="shared" si="67"/>
        <v>48470</v>
      </c>
      <c r="S614" s="3">
        <f t="shared" si="68"/>
        <v>1375.4999999999927</v>
      </c>
      <c r="T614">
        <f t="shared" si="69"/>
        <v>0</v>
      </c>
    </row>
    <row r="615" spans="1:20" x14ac:dyDescent="0.25">
      <c r="A615" t="s">
        <v>1418</v>
      </c>
      <c r="B615" t="s">
        <v>795</v>
      </c>
      <c r="C615" s="1">
        <v>44742</v>
      </c>
      <c r="D615" s="1">
        <f>IF(E615="",C615+VLOOKUP(B615,Lembar2!$B$19:$C$24,2,FALSE),'Procurement Dataset'!E615)</f>
        <v>44752</v>
      </c>
      <c r="E615" s="1">
        <v>44752</v>
      </c>
      <c r="F615" t="s">
        <v>804</v>
      </c>
      <c r="G615" t="s">
        <v>796</v>
      </c>
      <c r="H615" s="5">
        <v>1958</v>
      </c>
      <c r="I615" s="3">
        <v>95.53</v>
      </c>
      <c r="J615" s="3">
        <v>91.72</v>
      </c>
      <c r="K615" s="5">
        <f t="shared" si="64"/>
        <v>308</v>
      </c>
      <c r="L615">
        <v>308</v>
      </c>
      <c r="M615" t="s">
        <v>793</v>
      </c>
      <c r="N615">
        <f t="shared" si="63"/>
        <v>10</v>
      </c>
      <c r="O615" t="str">
        <f t="shared" si="65"/>
        <v>Valid</v>
      </c>
      <c r="P615" s="1" t="str">
        <f>IF(N615&gt;=(VLOOKUP(B615,Lembar2!$B$19:$C$24,2,FALSE)+7),"Delayed","Ontime")</f>
        <v>Ontime</v>
      </c>
      <c r="Q615" s="3">
        <f t="shared" si="66"/>
        <v>187047.74</v>
      </c>
      <c r="R615" s="3">
        <f t="shared" si="67"/>
        <v>179587.76</v>
      </c>
      <c r="S615" s="3">
        <f t="shared" si="68"/>
        <v>7459.9799999999814</v>
      </c>
      <c r="T615">
        <f t="shared" si="69"/>
        <v>1</v>
      </c>
    </row>
    <row r="616" spans="1:20" x14ac:dyDescent="0.25">
      <c r="A616" t="s">
        <v>1419</v>
      </c>
      <c r="B616" t="s">
        <v>795</v>
      </c>
      <c r="C616" s="1">
        <v>45274</v>
      </c>
      <c r="D616" s="1">
        <f>IF(E616="",C616+VLOOKUP(B616,Lembar2!$B$19:$C$24,2,FALSE),'Procurement Dataset'!E616)</f>
        <v>45277</v>
      </c>
      <c r="E616" s="1">
        <v>45277</v>
      </c>
      <c r="F616" t="s">
        <v>791</v>
      </c>
      <c r="G616" t="s">
        <v>796</v>
      </c>
      <c r="H616" s="5">
        <v>946</v>
      </c>
      <c r="I616" s="3">
        <v>108.6</v>
      </c>
      <c r="J616" s="3">
        <v>101.78</v>
      </c>
      <c r="K616" s="5">
        <f t="shared" si="64"/>
        <v>146</v>
      </c>
      <c r="L616">
        <v>146</v>
      </c>
      <c r="M616" t="s">
        <v>793</v>
      </c>
      <c r="N616">
        <f t="shared" si="63"/>
        <v>3</v>
      </c>
      <c r="O616" t="str">
        <f t="shared" si="65"/>
        <v>Valid</v>
      </c>
      <c r="P616" s="1" t="str">
        <f>IF(N616&gt;=(VLOOKUP(B616,Lembar2!$B$19:$C$24,2,FALSE)+7),"Delayed","Ontime")</f>
        <v>Ontime</v>
      </c>
      <c r="Q616" s="3">
        <f t="shared" si="66"/>
        <v>102735.59999999999</v>
      </c>
      <c r="R616" s="3">
        <f t="shared" si="67"/>
        <v>96283.88</v>
      </c>
      <c r="S616" s="3">
        <f t="shared" si="68"/>
        <v>6451.7199999999866</v>
      </c>
      <c r="T616">
        <f t="shared" si="69"/>
        <v>1</v>
      </c>
    </row>
    <row r="617" spans="1:20" x14ac:dyDescent="0.25">
      <c r="A617" t="s">
        <v>1420</v>
      </c>
      <c r="B617" t="s">
        <v>801</v>
      </c>
      <c r="C617" s="1">
        <v>45092</v>
      </c>
      <c r="D617" s="1">
        <f>IF(E617="",C617+VLOOKUP(B617,Lembar2!$B$19:$C$24,2,FALSE),'Procurement Dataset'!E617)</f>
        <v>45098</v>
      </c>
      <c r="E617" s="1">
        <v>45098</v>
      </c>
      <c r="F617" t="s">
        <v>802</v>
      </c>
      <c r="G617" t="s">
        <v>811</v>
      </c>
      <c r="H617" s="5">
        <v>1345</v>
      </c>
      <c r="I617" s="3">
        <v>103.06</v>
      </c>
      <c r="J617" s="3">
        <v>95.14</v>
      </c>
      <c r="K617" s="5">
        <f t="shared" si="64"/>
        <v>0</v>
      </c>
      <c r="M617" t="s">
        <v>793</v>
      </c>
      <c r="N617">
        <f t="shared" si="63"/>
        <v>6</v>
      </c>
      <c r="O617" t="str">
        <f t="shared" si="65"/>
        <v>Valid</v>
      </c>
      <c r="P617" s="1" t="str">
        <f>IF(N617&gt;=(VLOOKUP(B617,Lembar2!$B$19:$C$24,2,FALSE)+7),"Delayed","Ontime")</f>
        <v>Ontime</v>
      </c>
      <c r="Q617" s="3">
        <f t="shared" si="66"/>
        <v>138615.70000000001</v>
      </c>
      <c r="R617" s="3">
        <f t="shared" si="67"/>
        <v>127963.3</v>
      </c>
      <c r="S617" s="3">
        <f t="shared" si="68"/>
        <v>10652.400000000009</v>
      </c>
      <c r="T617">
        <f t="shared" si="69"/>
        <v>1</v>
      </c>
    </row>
    <row r="618" spans="1:20" x14ac:dyDescent="0.25">
      <c r="A618" t="s">
        <v>1421</v>
      </c>
      <c r="B618" t="s">
        <v>795</v>
      </c>
      <c r="C618" s="1">
        <v>45037</v>
      </c>
      <c r="D618" s="1">
        <f>IF(E618="",C618+VLOOKUP(B618,Lembar2!$B$19:$C$24,2,FALSE),'Procurement Dataset'!E618)</f>
        <v>45056</v>
      </c>
      <c r="E618" s="1">
        <v>45056</v>
      </c>
      <c r="F618" t="s">
        <v>799</v>
      </c>
      <c r="G618" t="s">
        <v>796</v>
      </c>
      <c r="H618" s="5">
        <v>1262</v>
      </c>
      <c r="I618" s="3">
        <v>56.63</v>
      </c>
      <c r="J618" s="3">
        <v>51.46</v>
      </c>
      <c r="K618" s="5">
        <f t="shared" si="64"/>
        <v>0</v>
      </c>
      <c r="M618" t="s">
        <v>805</v>
      </c>
      <c r="N618">
        <f t="shared" si="63"/>
        <v>19</v>
      </c>
      <c r="O618" t="str">
        <f t="shared" si="65"/>
        <v>Valid</v>
      </c>
      <c r="P618" s="1" t="str">
        <f>IF(N618&gt;=(VLOOKUP(B618,Lembar2!$B$19:$C$24,2,FALSE)+7),"Delayed","Ontime")</f>
        <v>Delayed</v>
      </c>
      <c r="Q618" s="3">
        <f t="shared" si="66"/>
        <v>71467.06</v>
      </c>
      <c r="R618" s="3">
        <f t="shared" si="67"/>
        <v>64942.520000000004</v>
      </c>
      <c r="S618" s="3">
        <f t="shared" si="68"/>
        <v>6524.5399999999936</v>
      </c>
      <c r="T618">
        <f t="shared" si="69"/>
        <v>0</v>
      </c>
    </row>
    <row r="619" spans="1:20" x14ac:dyDescent="0.25">
      <c r="A619" t="s">
        <v>1422</v>
      </c>
      <c r="B619" t="s">
        <v>801</v>
      </c>
      <c r="C619" s="1">
        <v>44613</v>
      </c>
      <c r="D619" s="1">
        <f>IF(E619="",C619+VLOOKUP(B619,Lembar2!$B$19:$C$24,2,FALSE),'Procurement Dataset'!E619)</f>
        <v>44633</v>
      </c>
      <c r="E619" s="1">
        <v>44633</v>
      </c>
      <c r="F619" t="s">
        <v>791</v>
      </c>
      <c r="G619" t="s">
        <v>813</v>
      </c>
      <c r="H619" s="5">
        <v>753</v>
      </c>
      <c r="I619" s="3">
        <v>88.02</v>
      </c>
      <c r="J619" s="3">
        <v>79.92</v>
      </c>
      <c r="K619" s="5">
        <f t="shared" si="64"/>
        <v>75</v>
      </c>
      <c r="L619">
        <v>75</v>
      </c>
      <c r="M619" t="s">
        <v>793</v>
      </c>
      <c r="N619">
        <f t="shared" si="63"/>
        <v>20</v>
      </c>
      <c r="O619" t="str">
        <f t="shared" si="65"/>
        <v>Valid</v>
      </c>
      <c r="P619" s="1" t="str">
        <f>IF(N619&gt;=(VLOOKUP(B619,Lembar2!$B$19:$C$24,2,FALSE)+7),"Delayed","Ontime")</f>
        <v>Delayed</v>
      </c>
      <c r="Q619" s="3">
        <f t="shared" si="66"/>
        <v>66279.06</v>
      </c>
      <c r="R619" s="3">
        <f t="shared" si="67"/>
        <v>60179.76</v>
      </c>
      <c r="S619" s="3">
        <f t="shared" si="68"/>
        <v>6099.2999999999956</v>
      </c>
      <c r="T619">
        <f t="shared" si="69"/>
        <v>0</v>
      </c>
    </row>
    <row r="620" spans="1:20" x14ac:dyDescent="0.25">
      <c r="A620" t="s">
        <v>1423</v>
      </c>
      <c r="B620" t="s">
        <v>801</v>
      </c>
      <c r="C620" s="1">
        <v>45132</v>
      </c>
      <c r="D620" s="1">
        <f>IF(E620="",C620+VLOOKUP(B620,Lembar2!$B$19:$C$24,2,FALSE),'Procurement Dataset'!E620)</f>
        <v>45152</v>
      </c>
      <c r="E620" s="1">
        <v>45152</v>
      </c>
      <c r="F620" t="s">
        <v>817</v>
      </c>
      <c r="G620" t="s">
        <v>796</v>
      </c>
      <c r="H620" s="5">
        <v>1520</v>
      </c>
      <c r="I620" s="3">
        <v>93.75</v>
      </c>
      <c r="J620" s="3">
        <v>81.63</v>
      </c>
      <c r="K620" s="5">
        <f t="shared" si="64"/>
        <v>149</v>
      </c>
      <c r="L620">
        <v>149</v>
      </c>
      <c r="M620" t="s">
        <v>793</v>
      </c>
      <c r="N620">
        <f t="shared" si="63"/>
        <v>20</v>
      </c>
      <c r="O620" t="str">
        <f t="shared" si="65"/>
        <v>Valid</v>
      </c>
      <c r="P620" s="1" t="str">
        <f>IF(N620&gt;=(VLOOKUP(B620,Lembar2!$B$19:$C$24,2,FALSE)+7),"Delayed","Ontime")</f>
        <v>Delayed</v>
      </c>
      <c r="Q620" s="3">
        <f t="shared" si="66"/>
        <v>142500</v>
      </c>
      <c r="R620" s="3">
        <f t="shared" si="67"/>
        <v>124077.59999999999</v>
      </c>
      <c r="S620" s="3">
        <f t="shared" si="68"/>
        <v>18422.400000000009</v>
      </c>
      <c r="T620">
        <f t="shared" si="69"/>
        <v>0</v>
      </c>
    </row>
    <row r="621" spans="1:20" x14ac:dyDescent="0.25">
      <c r="A621" t="s">
        <v>1424</v>
      </c>
      <c r="B621" t="s">
        <v>795</v>
      </c>
      <c r="C621" s="1">
        <v>44817</v>
      </c>
      <c r="D621" s="1">
        <f>IF(E621="",C621+VLOOKUP(B621,Lembar2!$B$19:$C$24,2,FALSE),'Procurement Dataset'!E621)</f>
        <v>44836</v>
      </c>
      <c r="E621" s="1">
        <v>44836</v>
      </c>
      <c r="F621" t="s">
        <v>791</v>
      </c>
      <c r="G621" t="s">
        <v>796</v>
      </c>
      <c r="H621" s="5">
        <v>630</v>
      </c>
      <c r="I621" s="3">
        <v>40.270000000000003</v>
      </c>
      <c r="J621" s="3">
        <v>37.54</v>
      </c>
      <c r="K621" s="5">
        <f t="shared" si="64"/>
        <v>76</v>
      </c>
      <c r="L621">
        <v>76</v>
      </c>
      <c r="M621" t="s">
        <v>793</v>
      </c>
      <c r="N621">
        <f t="shared" si="63"/>
        <v>19</v>
      </c>
      <c r="O621" t="str">
        <f t="shared" si="65"/>
        <v>Valid</v>
      </c>
      <c r="P621" s="1" t="str">
        <f>IF(N621&gt;=(VLOOKUP(B621,Lembar2!$B$19:$C$24,2,FALSE)+7),"Delayed","Ontime")</f>
        <v>Delayed</v>
      </c>
      <c r="Q621" s="3">
        <f t="shared" si="66"/>
        <v>25370.100000000002</v>
      </c>
      <c r="R621" s="3">
        <f t="shared" si="67"/>
        <v>23650.2</v>
      </c>
      <c r="S621" s="3">
        <f t="shared" si="68"/>
        <v>1719.9000000000015</v>
      </c>
      <c r="T621">
        <f t="shared" si="69"/>
        <v>0</v>
      </c>
    </row>
    <row r="622" spans="1:20" x14ac:dyDescent="0.25">
      <c r="A622" t="s">
        <v>1425</v>
      </c>
      <c r="B622" t="s">
        <v>795</v>
      </c>
      <c r="C622" s="1">
        <v>44686</v>
      </c>
      <c r="D622" s="1">
        <f>IF(E622="",C622+VLOOKUP(B622,Lembar2!$B$19:$C$24,2,FALSE),'Procurement Dataset'!E622)</f>
        <v>44687</v>
      </c>
      <c r="E622" s="1">
        <v>44687</v>
      </c>
      <c r="F622" t="s">
        <v>791</v>
      </c>
      <c r="G622" t="s">
        <v>796</v>
      </c>
      <c r="H622" s="5">
        <v>839</v>
      </c>
      <c r="I622" s="3">
        <v>86.29</v>
      </c>
      <c r="J622" s="3">
        <v>82.51</v>
      </c>
      <c r="K622" s="5">
        <f t="shared" si="64"/>
        <v>110</v>
      </c>
      <c r="L622">
        <v>110</v>
      </c>
      <c r="M622" t="s">
        <v>793</v>
      </c>
      <c r="N622">
        <f t="shared" si="63"/>
        <v>1</v>
      </c>
      <c r="O622" t="str">
        <f t="shared" si="65"/>
        <v>Valid</v>
      </c>
      <c r="P622" s="1" t="str">
        <f>IF(N622&gt;=(VLOOKUP(B622,Lembar2!$B$19:$C$24,2,FALSE)+7),"Delayed","Ontime")</f>
        <v>Ontime</v>
      </c>
      <c r="Q622" s="3">
        <f t="shared" si="66"/>
        <v>72397.310000000012</v>
      </c>
      <c r="R622" s="3">
        <f t="shared" si="67"/>
        <v>69225.89</v>
      </c>
      <c r="S622" s="3">
        <f t="shared" si="68"/>
        <v>3171.4200000000128</v>
      </c>
      <c r="T622">
        <f t="shared" si="69"/>
        <v>1</v>
      </c>
    </row>
    <row r="623" spans="1:20" x14ac:dyDescent="0.25">
      <c r="A623" t="s">
        <v>1426</v>
      </c>
      <c r="B623" t="s">
        <v>790</v>
      </c>
      <c r="C623" s="1">
        <v>45029</v>
      </c>
      <c r="D623" s="1">
        <f>IF(E623="",C623+VLOOKUP(B623,Lembar2!$B$19:$C$24,2,FALSE),'Procurement Dataset'!E623)</f>
        <v>45048</v>
      </c>
      <c r="E623" s="1">
        <v>45048</v>
      </c>
      <c r="F623" t="s">
        <v>817</v>
      </c>
      <c r="G623" t="s">
        <v>796</v>
      </c>
      <c r="H623" s="5">
        <v>910</v>
      </c>
      <c r="I623" s="3">
        <v>14.33</v>
      </c>
      <c r="J623" s="3">
        <v>14.07</v>
      </c>
      <c r="K623" s="5">
        <f t="shared" si="64"/>
        <v>27</v>
      </c>
      <c r="L623">
        <v>27</v>
      </c>
      <c r="M623" t="s">
        <v>793</v>
      </c>
      <c r="N623">
        <f t="shared" si="63"/>
        <v>19</v>
      </c>
      <c r="O623" t="str">
        <f t="shared" si="65"/>
        <v>Valid</v>
      </c>
      <c r="P623" s="1" t="str">
        <f>IF(N623&gt;=(VLOOKUP(B623,Lembar2!$B$19:$C$24,2,FALSE)+7),"Delayed","Ontime")</f>
        <v>Delayed</v>
      </c>
      <c r="Q623" s="3">
        <f t="shared" si="66"/>
        <v>13040.3</v>
      </c>
      <c r="R623" s="3">
        <f t="shared" si="67"/>
        <v>12803.7</v>
      </c>
      <c r="S623" s="3">
        <f t="shared" si="68"/>
        <v>236.59999999999854</v>
      </c>
      <c r="T623">
        <f t="shared" si="69"/>
        <v>0</v>
      </c>
    </row>
    <row r="624" spans="1:20" x14ac:dyDescent="0.25">
      <c r="A624" t="s">
        <v>1427</v>
      </c>
      <c r="B624" t="s">
        <v>807</v>
      </c>
      <c r="C624" s="1">
        <v>44698</v>
      </c>
      <c r="D624" s="1">
        <f>IF(E624="",C624+VLOOKUP(B624,Lembar2!$B$19:$C$24,2,FALSE),'Procurement Dataset'!E624)</f>
        <v>44705</v>
      </c>
      <c r="E624" s="1">
        <v>44705</v>
      </c>
      <c r="F624" t="s">
        <v>804</v>
      </c>
      <c r="G624" t="s">
        <v>796</v>
      </c>
      <c r="H624" s="5">
        <v>296</v>
      </c>
      <c r="I624" s="3">
        <v>64.94</v>
      </c>
      <c r="J624" s="3">
        <v>63.61</v>
      </c>
      <c r="K624" s="5">
        <f t="shared" si="64"/>
        <v>0</v>
      </c>
      <c r="M624" t="s">
        <v>793</v>
      </c>
      <c r="N624">
        <f t="shared" si="63"/>
        <v>7</v>
      </c>
      <c r="O624" t="str">
        <f t="shared" si="65"/>
        <v>Valid</v>
      </c>
      <c r="P624" s="1" t="str">
        <f>IF(N624&gt;=(VLOOKUP(B624,Lembar2!$B$19:$C$24,2,FALSE)+7),"Delayed","Ontime")</f>
        <v>Ontime</v>
      </c>
      <c r="Q624" s="3">
        <f t="shared" si="66"/>
        <v>19222.239999999998</v>
      </c>
      <c r="R624" s="3">
        <f t="shared" si="67"/>
        <v>18828.560000000001</v>
      </c>
      <c r="S624" s="3">
        <f t="shared" si="68"/>
        <v>393.67999999999665</v>
      </c>
      <c r="T624">
        <f t="shared" si="69"/>
        <v>1</v>
      </c>
    </row>
    <row r="625" spans="1:20" x14ac:dyDescent="0.25">
      <c r="A625" t="s">
        <v>1428</v>
      </c>
      <c r="B625" t="s">
        <v>801</v>
      </c>
      <c r="C625" s="1">
        <v>45037</v>
      </c>
      <c r="D625" s="1">
        <f>IF(E625="",C625+VLOOKUP(B625,Lembar2!$B$19:$C$24,2,FALSE),'Procurement Dataset'!E625)</f>
        <v>45051</v>
      </c>
      <c r="E625" s="1">
        <v>45051</v>
      </c>
      <c r="F625" t="s">
        <v>799</v>
      </c>
      <c r="G625" t="s">
        <v>796</v>
      </c>
      <c r="H625" s="5">
        <v>1149</v>
      </c>
      <c r="I625" s="3">
        <v>33</v>
      </c>
      <c r="J625" s="3">
        <v>30.65</v>
      </c>
      <c r="K625" s="5">
        <f t="shared" si="64"/>
        <v>141</v>
      </c>
      <c r="L625">
        <v>141</v>
      </c>
      <c r="M625" t="s">
        <v>793</v>
      </c>
      <c r="N625">
        <f t="shared" si="63"/>
        <v>14</v>
      </c>
      <c r="O625" t="str">
        <f t="shared" si="65"/>
        <v>Valid</v>
      </c>
      <c r="P625" s="1" t="str">
        <f>IF(N625&gt;=(VLOOKUP(B625,Lembar2!$B$19:$C$24,2,FALSE)+7),"Delayed","Ontime")</f>
        <v>Ontime</v>
      </c>
      <c r="Q625" s="3">
        <f t="shared" si="66"/>
        <v>37917</v>
      </c>
      <c r="R625" s="3">
        <f t="shared" si="67"/>
        <v>35216.85</v>
      </c>
      <c r="S625" s="3">
        <f t="shared" si="68"/>
        <v>2700.1500000000015</v>
      </c>
      <c r="T625">
        <f t="shared" si="69"/>
        <v>1</v>
      </c>
    </row>
    <row r="626" spans="1:20" x14ac:dyDescent="0.25">
      <c r="A626" t="s">
        <v>1429</v>
      </c>
      <c r="B626" t="s">
        <v>795</v>
      </c>
      <c r="C626" s="1">
        <v>45245</v>
      </c>
      <c r="D626" s="1">
        <f>IF(E626="",C626+VLOOKUP(B626,Lembar2!$B$19:$C$24,2,FALSE),'Procurement Dataset'!E626)</f>
        <v>45246</v>
      </c>
      <c r="E626" s="1">
        <v>45246</v>
      </c>
      <c r="F626" t="s">
        <v>817</v>
      </c>
      <c r="G626" t="s">
        <v>796</v>
      </c>
      <c r="H626" s="5">
        <v>203</v>
      </c>
      <c r="I626" s="3">
        <v>23.14</v>
      </c>
      <c r="J626" s="3">
        <v>20</v>
      </c>
      <c r="K626" s="5">
        <f t="shared" si="64"/>
        <v>0</v>
      </c>
      <c r="M626" t="s">
        <v>805</v>
      </c>
      <c r="N626">
        <f t="shared" si="63"/>
        <v>1</v>
      </c>
      <c r="O626" t="str">
        <f t="shared" si="65"/>
        <v>Valid</v>
      </c>
      <c r="P626" s="1" t="str">
        <f>IF(N626&gt;=(VLOOKUP(B626,Lembar2!$B$19:$C$24,2,FALSE)+7),"Delayed","Ontime")</f>
        <v>Ontime</v>
      </c>
      <c r="Q626" s="3">
        <f t="shared" si="66"/>
        <v>4697.42</v>
      </c>
      <c r="R626" s="3">
        <f t="shared" si="67"/>
        <v>4060</v>
      </c>
      <c r="S626" s="3">
        <f t="shared" si="68"/>
        <v>637.42000000000007</v>
      </c>
      <c r="T626">
        <f t="shared" si="69"/>
        <v>1</v>
      </c>
    </row>
    <row r="627" spans="1:20" x14ac:dyDescent="0.25">
      <c r="A627" t="s">
        <v>1430</v>
      </c>
      <c r="B627" t="s">
        <v>807</v>
      </c>
      <c r="C627" s="1">
        <v>45105</v>
      </c>
      <c r="D627" s="1">
        <f>IF(E627="",C627+VLOOKUP(B627,Lembar2!$B$19:$C$24,2,FALSE),'Procurement Dataset'!E627)</f>
        <v>45123</v>
      </c>
      <c r="E627" s="1">
        <v>45123</v>
      </c>
      <c r="F627" t="s">
        <v>791</v>
      </c>
      <c r="G627" t="s">
        <v>796</v>
      </c>
      <c r="H627" s="5">
        <v>1729</v>
      </c>
      <c r="I627" s="3">
        <v>18.36</v>
      </c>
      <c r="J627" s="3">
        <v>16.34</v>
      </c>
      <c r="K627" s="5">
        <f t="shared" si="64"/>
        <v>47</v>
      </c>
      <c r="L627">
        <v>47</v>
      </c>
      <c r="M627" t="s">
        <v>793</v>
      </c>
      <c r="N627">
        <f t="shared" si="63"/>
        <v>18</v>
      </c>
      <c r="O627" t="str">
        <f t="shared" si="65"/>
        <v>Valid</v>
      </c>
      <c r="P627" s="1" t="str">
        <f>IF(N627&gt;=(VLOOKUP(B627,Lembar2!$B$19:$C$24,2,FALSE)+7),"Delayed","Ontime")</f>
        <v>Delayed</v>
      </c>
      <c r="Q627" s="3">
        <f t="shared" si="66"/>
        <v>31744.44</v>
      </c>
      <c r="R627" s="3">
        <f t="shared" si="67"/>
        <v>28251.86</v>
      </c>
      <c r="S627" s="3">
        <f t="shared" si="68"/>
        <v>3492.5799999999981</v>
      </c>
      <c r="T627">
        <f t="shared" si="69"/>
        <v>0</v>
      </c>
    </row>
    <row r="628" spans="1:20" x14ac:dyDescent="0.25">
      <c r="A628" t="s">
        <v>1431</v>
      </c>
      <c r="B628" t="s">
        <v>795</v>
      </c>
      <c r="C628" s="1">
        <v>45134</v>
      </c>
      <c r="D628" s="1">
        <f>IF(E628="",C628+VLOOKUP(B628,Lembar2!$B$19:$C$24,2,FALSE),'Procurement Dataset'!E628)</f>
        <v>45144</v>
      </c>
      <c r="E628" s="1">
        <v>45144</v>
      </c>
      <c r="F628" t="s">
        <v>791</v>
      </c>
      <c r="G628" t="s">
        <v>796</v>
      </c>
      <c r="H628" s="5">
        <v>1508</v>
      </c>
      <c r="I628" s="3">
        <v>79.209999999999994</v>
      </c>
      <c r="J628" s="3">
        <v>73.27</v>
      </c>
      <c r="K628" s="5">
        <f t="shared" si="64"/>
        <v>226</v>
      </c>
      <c r="L628">
        <v>226</v>
      </c>
      <c r="M628" t="s">
        <v>793</v>
      </c>
      <c r="N628">
        <f t="shared" si="63"/>
        <v>10</v>
      </c>
      <c r="O628" t="str">
        <f t="shared" si="65"/>
        <v>Valid</v>
      </c>
      <c r="P628" s="1" t="str">
        <f>IF(N628&gt;=(VLOOKUP(B628,Lembar2!$B$19:$C$24,2,FALSE)+7),"Delayed","Ontime")</f>
        <v>Ontime</v>
      </c>
      <c r="Q628" s="3">
        <f t="shared" si="66"/>
        <v>119448.68</v>
      </c>
      <c r="R628" s="3">
        <f t="shared" si="67"/>
        <v>110491.15999999999</v>
      </c>
      <c r="S628" s="3">
        <f t="shared" si="68"/>
        <v>8957.5200000000041</v>
      </c>
      <c r="T628">
        <f t="shared" si="69"/>
        <v>1</v>
      </c>
    </row>
    <row r="629" spans="1:20" x14ac:dyDescent="0.25">
      <c r="A629" t="s">
        <v>1432</v>
      </c>
      <c r="B629" t="s">
        <v>795</v>
      </c>
      <c r="C629" s="1">
        <v>45171</v>
      </c>
      <c r="D629" s="1">
        <f>IF(E629="",C629+VLOOKUP(B629,Lembar2!$B$19:$C$24,2,FALSE),'Procurement Dataset'!E629)</f>
        <v>45184</v>
      </c>
      <c r="E629" s="1">
        <v>45184</v>
      </c>
      <c r="F629" t="s">
        <v>802</v>
      </c>
      <c r="G629" t="s">
        <v>811</v>
      </c>
      <c r="H629" s="5">
        <v>1046</v>
      </c>
      <c r="I629" s="3">
        <v>44.65</v>
      </c>
      <c r="J629" s="3">
        <v>40.1</v>
      </c>
      <c r="K629" s="5">
        <f t="shared" si="64"/>
        <v>165</v>
      </c>
      <c r="L629">
        <v>165</v>
      </c>
      <c r="M629" t="s">
        <v>805</v>
      </c>
      <c r="N629">
        <f t="shared" si="63"/>
        <v>13</v>
      </c>
      <c r="O629" t="str">
        <f t="shared" si="65"/>
        <v>Valid</v>
      </c>
      <c r="P629" s="1" t="str">
        <f>IF(N629&gt;=(VLOOKUP(B629,Lembar2!$B$19:$C$24,2,FALSE)+7),"Delayed","Ontime")</f>
        <v>Ontime</v>
      </c>
      <c r="Q629" s="3">
        <f t="shared" si="66"/>
        <v>46703.9</v>
      </c>
      <c r="R629" s="3">
        <f t="shared" si="67"/>
        <v>41944.6</v>
      </c>
      <c r="S629" s="3">
        <f t="shared" si="68"/>
        <v>4759.3000000000029</v>
      </c>
      <c r="T629">
        <f t="shared" si="69"/>
        <v>1</v>
      </c>
    </row>
    <row r="630" spans="1:20" x14ac:dyDescent="0.25">
      <c r="A630" t="s">
        <v>1433</v>
      </c>
      <c r="B630" t="s">
        <v>790</v>
      </c>
      <c r="C630" s="1">
        <v>44886</v>
      </c>
      <c r="D630" s="1">
        <f>IF(E630="",C630+VLOOKUP(B630,Lembar2!$B$19:$C$24,2,FALSE),'Procurement Dataset'!E630)</f>
        <v>44889</v>
      </c>
      <c r="E630" s="1">
        <v>44889</v>
      </c>
      <c r="F630" t="s">
        <v>791</v>
      </c>
      <c r="G630" t="s">
        <v>796</v>
      </c>
      <c r="H630" s="5">
        <v>1159</v>
      </c>
      <c r="I630" s="3">
        <v>78.989999999999995</v>
      </c>
      <c r="J630" s="3">
        <v>71.69</v>
      </c>
      <c r="K630" s="5">
        <f t="shared" si="64"/>
        <v>14</v>
      </c>
      <c r="L630">
        <v>14</v>
      </c>
      <c r="M630" t="s">
        <v>793</v>
      </c>
      <c r="N630">
        <f t="shared" si="63"/>
        <v>3</v>
      </c>
      <c r="O630" t="str">
        <f t="shared" si="65"/>
        <v>Valid</v>
      </c>
      <c r="P630" s="1" t="str">
        <f>IF(N630&gt;=(VLOOKUP(B630,Lembar2!$B$19:$C$24,2,FALSE)+7),"Delayed","Ontime")</f>
        <v>Ontime</v>
      </c>
      <c r="Q630" s="3">
        <f t="shared" si="66"/>
        <v>91549.409999999989</v>
      </c>
      <c r="R630" s="3">
        <f t="shared" si="67"/>
        <v>83088.709999999992</v>
      </c>
      <c r="S630" s="3">
        <f t="shared" si="68"/>
        <v>8460.6999999999971</v>
      </c>
      <c r="T630">
        <f t="shared" si="69"/>
        <v>1</v>
      </c>
    </row>
    <row r="631" spans="1:20" x14ac:dyDescent="0.25">
      <c r="A631" t="s">
        <v>1434</v>
      </c>
      <c r="B631" t="s">
        <v>801</v>
      </c>
      <c r="C631" s="1">
        <v>45015</v>
      </c>
      <c r="D631" s="1">
        <f>IF(E631="",C631+VLOOKUP(B631,Lembar2!$B$19:$C$24,2,FALSE),'Procurement Dataset'!E631)</f>
        <v>45021</v>
      </c>
      <c r="E631" s="1">
        <v>45021</v>
      </c>
      <c r="F631" t="s">
        <v>817</v>
      </c>
      <c r="G631" t="s">
        <v>796</v>
      </c>
      <c r="H631" s="5">
        <v>746</v>
      </c>
      <c r="I631" s="3">
        <v>16.989999999999998</v>
      </c>
      <c r="J631" s="3">
        <v>15.35</v>
      </c>
      <c r="K631" s="5">
        <f t="shared" si="64"/>
        <v>69</v>
      </c>
      <c r="L631">
        <v>69</v>
      </c>
      <c r="M631" t="s">
        <v>805</v>
      </c>
      <c r="N631">
        <f t="shared" si="63"/>
        <v>6</v>
      </c>
      <c r="O631" t="str">
        <f t="shared" si="65"/>
        <v>Valid</v>
      </c>
      <c r="P631" s="1" t="str">
        <f>IF(N631&gt;=(VLOOKUP(B631,Lembar2!$B$19:$C$24,2,FALSE)+7),"Delayed","Ontime")</f>
        <v>Ontime</v>
      </c>
      <c r="Q631" s="3">
        <f t="shared" si="66"/>
        <v>12674.539999999999</v>
      </c>
      <c r="R631" s="3">
        <f t="shared" si="67"/>
        <v>11451.1</v>
      </c>
      <c r="S631" s="3">
        <f t="shared" si="68"/>
        <v>1223.4399999999987</v>
      </c>
      <c r="T631">
        <f t="shared" si="69"/>
        <v>1</v>
      </c>
    </row>
    <row r="632" spans="1:20" x14ac:dyDescent="0.25">
      <c r="A632" t="s">
        <v>1435</v>
      </c>
      <c r="B632" t="s">
        <v>801</v>
      </c>
      <c r="C632" s="1">
        <v>45189</v>
      </c>
      <c r="D632" s="1">
        <f>IF(E632="",C632+VLOOKUP(B632,Lembar2!$B$19:$C$24,2,FALSE),'Procurement Dataset'!E632)</f>
        <v>45205</v>
      </c>
      <c r="E632" s="1">
        <v>45205</v>
      </c>
      <c r="F632" t="s">
        <v>802</v>
      </c>
      <c r="G632" t="s">
        <v>796</v>
      </c>
      <c r="H632" s="5">
        <v>1358</v>
      </c>
      <c r="I632" s="3">
        <v>42.21</v>
      </c>
      <c r="J632" s="3">
        <v>38.75</v>
      </c>
      <c r="K632" s="5">
        <f t="shared" si="64"/>
        <v>128</v>
      </c>
      <c r="L632">
        <v>128</v>
      </c>
      <c r="M632" t="s">
        <v>793</v>
      </c>
      <c r="N632">
        <f t="shared" si="63"/>
        <v>16</v>
      </c>
      <c r="O632" t="str">
        <f t="shared" si="65"/>
        <v>Valid</v>
      </c>
      <c r="P632" s="1" t="str">
        <f>IF(N632&gt;=(VLOOKUP(B632,Lembar2!$B$19:$C$24,2,FALSE)+7),"Delayed","Ontime")</f>
        <v>Ontime</v>
      </c>
      <c r="Q632" s="3">
        <f t="shared" si="66"/>
        <v>57321.18</v>
      </c>
      <c r="R632" s="3">
        <f t="shared" si="67"/>
        <v>52622.5</v>
      </c>
      <c r="S632" s="3">
        <f t="shared" si="68"/>
        <v>4698.68</v>
      </c>
      <c r="T632">
        <f t="shared" si="69"/>
        <v>1</v>
      </c>
    </row>
    <row r="633" spans="1:20" x14ac:dyDescent="0.25">
      <c r="A633" t="s">
        <v>1436</v>
      </c>
      <c r="B633" t="s">
        <v>798</v>
      </c>
      <c r="C633" s="1">
        <v>45078</v>
      </c>
      <c r="D633" s="1">
        <f>IF(E633="",C633+VLOOKUP(B633,Lembar2!$B$19:$C$24,2,FALSE),'Procurement Dataset'!E633)</f>
        <v>45089</v>
      </c>
      <c r="E633" s="1">
        <v>45089</v>
      </c>
      <c r="F633" t="s">
        <v>791</v>
      </c>
      <c r="G633" t="s">
        <v>796</v>
      </c>
      <c r="H633" s="5">
        <v>1293</v>
      </c>
      <c r="I633" s="3">
        <v>63.53</v>
      </c>
      <c r="J633" s="3">
        <v>59.42</v>
      </c>
      <c r="K633" s="5">
        <f t="shared" si="64"/>
        <v>79</v>
      </c>
      <c r="L633">
        <v>79</v>
      </c>
      <c r="M633" t="s">
        <v>793</v>
      </c>
      <c r="N633">
        <f t="shared" si="63"/>
        <v>11</v>
      </c>
      <c r="O633" t="str">
        <f t="shared" si="65"/>
        <v>Valid</v>
      </c>
      <c r="P633" s="1" t="str">
        <f>IF(N633&gt;=(VLOOKUP(B633,Lembar2!$B$19:$C$24,2,FALSE)+7),"Delayed","Ontime")</f>
        <v>Ontime</v>
      </c>
      <c r="Q633" s="3">
        <f t="shared" si="66"/>
        <v>82144.290000000008</v>
      </c>
      <c r="R633" s="3">
        <f t="shared" si="67"/>
        <v>76830.06</v>
      </c>
      <c r="S633" s="3">
        <f t="shared" si="68"/>
        <v>5314.2300000000105</v>
      </c>
      <c r="T633">
        <f t="shared" si="69"/>
        <v>1</v>
      </c>
    </row>
    <row r="634" spans="1:20" x14ac:dyDescent="0.25">
      <c r="A634" t="s">
        <v>1437</v>
      </c>
      <c r="B634" t="s">
        <v>790</v>
      </c>
      <c r="C634" s="1">
        <v>44998</v>
      </c>
      <c r="D634" s="1">
        <f>IF(E634="",C634+VLOOKUP(B634,Lembar2!$B$19:$C$24,2,FALSE),'Procurement Dataset'!E634)</f>
        <v>45009</v>
      </c>
      <c r="E634" s="1">
        <v>45009</v>
      </c>
      <c r="F634" t="s">
        <v>817</v>
      </c>
      <c r="G634" t="s">
        <v>796</v>
      </c>
      <c r="H634" s="5">
        <v>1142</v>
      </c>
      <c r="I634" s="3">
        <v>86.85</v>
      </c>
      <c r="J634" s="3">
        <v>74.28</v>
      </c>
      <c r="K634" s="5">
        <f t="shared" si="64"/>
        <v>30</v>
      </c>
      <c r="L634">
        <v>30</v>
      </c>
      <c r="M634" t="s">
        <v>793</v>
      </c>
      <c r="N634">
        <f t="shared" si="63"/>
        <v>11</v>
      </c>
      <c r="O634" t="str">
        <f t="shared" si="65"/>
        <v>Valid</v>
      </c>
      <c r="P634" s="1" t="str">
        <f>IF(N634&gt;=(VLOOKUP(B634,Lembar2!$B$19:$C$24,2,FALSE)+7),"Delayed","Ontime")</f>
        <v>Ontime</v>
      </c>
      <c r="Q634" s="3">
        <f t="shared" si="66"/>
        <v>99182.7</v>
      </c>
      <c r="R634" s="3">
        <f t="shared" si="67"/>
        <v>84827.76</v>
      </c>
      <c r="S634" s="3">
        <f t="shared" si="68"/>
        <v>14354.940000000002</v>
      </c>
      <c r="T634">
        <f t="shared" si="69"/>
        <v>1</v>
      </c>
    </row>
    <row r="635" spans="1:20" x14ac:dyDescent="0.25">
      <c r="A635" t="s">
        <v>1438</v>
      </c>
      <c r="B635" t="s">
        <v>807</v>
      </c>
      <c r="C635" s="1">
        <v>45123</v>
      </c>
      <c r="D635" s="1">
        <f>IF(E635="",C635+VLOOKUP(B635,Lembar2!$B$19:$C$24,2,FALSE),'Procurement Dataset'!E635)</f>
        <v>45134</v>
      </c>
      <c r="E635" s="1">
        <v>45134</v>
      </c>
      <c r="F635" t="s">
        <v>799</v>
      </c>
      <c r="G635" t="s">
        <v>796</v>
      </c>
      <c r="H635" s="5">
        <v>1120</v>
      </c>
      <c r="I635" s="3">
        <v>42.17</v>
      </c>
      <c r="J635" s="3">
        <v>37.47</v>
      </c>
      <c r="K635" s="5">
        <f t="shared" si="64"/>
        <v>33</v>
      </c>
      <c r="L635">
        <v>33</v>
      </c>
      <c r="M635" t="s">
        <v>793</v>
      </c>
      <c r="N635">
        <f t="shared" si="63"/>
        <v>11</v>
      </c>
      <c r="O635" t="str">
        <f t="shared" si="65"/>
        <v>Valid</v>
      </c>
      <c r="P635" s="1" t="str">
        <f>IF(N635&gt;=(VLOOKUP(B635,Lembar2!$B$19:$C$24,2,FALSE)+7),"Delayed","Ontime")</f>
        <v>Ontime</v>
      </c>
      <c r="Q635" s="3">
        <f t="shared" si="66"/>
        <v>47230.400000000001</v>
      </c>
      <c r="R635" s="3">
        <f t="shared" si="67"/>
        <v>41966.400000000001</v>
      </c>
      <c r="S635" s="3">
        <f t="shared" si="68"/>
        <v>5264</v>
      </c>
      <c r="T635">
        <f t="shared" si="69"/>
        <v>1</v>
      </c>
    </row>
    <row r="636" spans="1:20" x14ac:dyDescent="0.25">
      <c r="A636" t="s">
        <v>1439</v>
      </c>
      <c r="B636" t="s">
        <v>790</v>
      </c>
      <c r="C636" s="1">
        <v>45018</v>
      </c>
      <c r="D636" s="1">
        <f>IF(E636="",C636+VLOOKUP(B636,Lembar2!$B$19:$C$24,2,FALSE),'Procurement Dataset'!E636)</f>
        <v>45030</v>
      </c>
      <c r="E636" s="1">
        <v>45030</v>
      </c>
      <c r="F636" t="s">
        <v>799</v>
      </c>
      <c r="G636" t="s">
        <v>796</v>
      </c>
      <c r="H636" s="5">
        <v>1058</v>
      </c>
      <c r="I636" s="3">
        <v>71.3</v>
      </c>
      <c r="J636" s="3">
        <v>62.04</v>
      </c>
      <c r="K636" s="5">
        <f t="shared" si="64"/>
        <v>0</v>
      </c>
      <c r="M636" t="s">
        <v>793</v>
      </c>
      <c r="N636">
        <f t="shared" si="63"/>
        <v>12</v>
      </c>
      <c r="O636" t="str">
        <f t="shared" si="65"/>
        <v>Valid</v>
      </c>
      <c r="P636" s="1" t="str">
        <f>IF(N636&gt;=(VLOOKUP(B636,Lembar2!$B$19:$C$24,2,FALSE)+7),"Delayed","Ontime")</f>
        <v>Ontime</v>
      </c>
      <c r="Q636" s="3">
        <f t="shared" si="66"/>
        <v>75435.399999999994</v>
      </c>
      <c r="R636" s="3">
        <f t="shared" si="67"/>
        <v>65638.319999999992</v>
      </c>
      <c r="S636" s="3">
        <f t="shared" si="68"/>
        <v>9797.0800000000017</v>
      </c>
      <c r="T636">
        <f t="shared" si="69"/>
        <v>1</v>
      </c>
    </row>
    <row r="637" spans="1:20" x14ac:dyDescent="0.25">
      <c r="A637" t="s">
        <v>1440</v>
      </c>
      <c r="B637" t="s">
        <v>807</v>
      </c>
      <c r="C637" s="1">
        <v>44724</v>
      </c>
      <c r="D637" s="1">
        <f>IF(E637="",C637+VLOOKUP(B637,Lembar2!$B$19:$C$24,2,FALSE),'Procurement Dataset'!E637)</f>
        <v>44735</v>
      </c>
      <c r="F637" t="s">
        <v>791</v>
      </c>
      <c r="G637" t="s">
        <v>796</v>
      </c>
      <c r="H637" s="5">
        <v>143</v>
      </c>
      <c r="I637" s="3">
        <v>91.98</v>
      </c>
      <c r="J637" s="3">
        <v>86.02</v>
      </c>
      <c r="K637" s="5">
        <f t="shared" si="64"/>
        <v>5</v>
      </c>
      <c r="L637">
        <v>5</v>
      </c>
      <c r="M637" t="s">
        <v>793</v>
      </c>
      <c r="N637" t="str">
        <f t="shared" si="63"/>
        <v/>
      </c>
      <c r="O637" t="str">
        <f t="shared" si="65"/>
        <v>Valid</v>
      </c>
      <c r="P637" s="1" t="str">
        <f>IF(N637&gt;=(VLOOKUP(B637,Lembar2!$B$19:$C$24,2,FALSE)+7),"Delayed","Ontime")</f>
        <v>Delayed</v>
      </c>
      <c r="Q637" s="3">
        <f t="shared" si="66"/>
        <v>13153.140000000001</v>
      </c>
      <c r="R637" s="3">
        <f t="shared" si="67"/>
        <v>12300.859999999999</v>
      </c>
      <c r="S637" s="3">
        <f t="shared" si="68"/>
        <v>852.28000000000247</v>
      </c>
      <c r="T637">
        <f t="shared" si="69"/>
        <v>0</v>
      </c>
    </row>
    <row r="638" spans="1:20" x14ac:dyDescent="0.25">
      <c r="A638" t="s">
        <v>1441</v>
      </c>
      <c r="B638" t="s">
        <v>801</v>
      </c>
      <c r="C638" s="1">
        <v>45048</v>
      </c>
      <c r="D638" s="1">
        <f>IF(E638="",C638+VLOOKUP(B638,Lembar2!$B$19:$C$24,2,FALSE),'Procurement Dataset'!E638)</f>
        <v>45060</v>
      </c>
      <c r="E638" s="1">
        <v>45060</v>
      </c>
      <c r="F638" t="s">
        <v>799</v>
      </c>
      <c r="G638" t="s">
        <v>796</v>
      </c>
      <c r="H638" s="5">
        <v>1823</v>
      </c>
      <c r="I638" s="3">
        <v>70.66</v>
      </c>
      <c r="J638" s="3">
        <v>66.92</v>
      </c>
      <c r="K638" s="5">
        <f t="shared" si="64"/>
        <v>202</v>
      </c>
      <c r="L638">
        <v>202</v>
      </c>
      <c r="M638" t="s">
        <v>793</v>
      </c>
      <c r="N638">
        <f t="shared" si="63"/>
        <v>12</v>
      </c>
      <c r="O638" t="str">
        <f t="shared" si="65"/>
        <v>Valid</v>
      </c>
      <c r="P638" s="1" t="str">
        <f>IF(N638&gt;=(VLOOKUP(B638,Lembar2!$B$19:$C$24,2,FALSE)+7),"Delayed","Ontime")</f>
        <v>Ontime</v>
      </c>
      <c r="Q638" s="3">
        <f t="shared" si="66"/>
        <v>128813.18</v>
      </c>
      <c r="R638" s="3">
        <f t="shared" si="67"/>
        <v>121995.16</v>
      </c>
      <c r="S638" s="3">
        <f t="shared" si="68"/>
        <v>6818.0199999999895</v>
      </c>
      <c r="T638">
        <f t="shared" si="69"/>
        <v>1</v>
      </c>
    </row>
    <row r="639" spans="1:20" x14ac:dyDescent="0.25">
      <c r="A639" t="s">
        <v>1442</v>
      </c>
      <c r="B639" t="s">
        <v>798</v>
      </c>
      <c r="C639" s="1">
        <v>45022</v>
      </c>
      <c r="D639" s="1">
        <f>IF(E639="",C639+VLOOKUP(B639,Lembar2!$B$19:$C$24,2,FALSE),'Procurement Dataset'!E639)</f>
        <v>45026</v>
      </c>
      <c r="E639" s="1">
        <v>45026</v>
      </c>
      <c r="F639" t="s">
        <v>791</v>
      </c>
      <c r="G639" t="s">
        <v>796</v>
      </c>
      <c r="H639" s="5">
        <v>1007</v>
      </c>
      <c r="I639" s="3">
        <v>33.29</v>
      </c>
      <c r="J639" s="3">
        <v>28.48</v>
      </c>
      <c r="K639" s="5">
        <f t="shared" si="64"/>
        <v>49</v>
      </c>
      <c r="L639">
        <v>49</v>
      </c>
      <c r="M639" t="s">
        <v>793</v>
      </c>
      <c r="N639">
        <f t="shared" si="63"/>
        <v>4</v>
      </c>
      <c r="O639" t="str">
        <f t="shared" si="65"/>
        <v>Valid</v>
      </c>
      <c r="P639" s="1" t="str">
        <f>IF(N639&gt;=(VLOOKUP(B639,Lembar2!$B$19:$C$24,2,FALSE)+7),"Delayed","Ontime")</f>
        <v>Ontime</v>
      </c>
      <c r="Q639" s="3">
        <f t="shared" si="66"/>
        <v>33523.03</v>
      </c>
      <c r="R639" s="3">
        <f t="shared" si="67"/>
        <v>28679.360000000001</v>
      </c>
      <c r="S639" s="3">
        <f t="shared" si="68"/>
        <v>4843.6699999999983</v>
      </c>
      <c r="T639">
        <f t="shared" si="69"/>
        <v>1</v>
      </c>
    </row>
    <row r="640" spans="1:20" x14ac:dyDescent="0.25">
      <c r="A640" t="s">
        <v>1443</v>
      </c>
      <c r="B640" t="s">
        <v>798</v>
      </c>
      <c r="C640" s="1">
        <v>44827</v>
      </c>
      <c r="D640" s="1">
        <f>IF(E640="",C640+VLOOKUP(B640,Lembar2!$B$19:$C$24,2,FALSE),'Procurement Dataset'!E640)</f>
        <v>44842</v>
      </c>
      <c r="E640" s="1">
        <v>44842</v>
      </c>
      <c r="F640" t="s">
        <v>802</v>
      </c>
      <c r="G640" t="s">
        <v>796</v>
      </c>
      <c r="H640" s="5">
        <v>1061</v>
      </c>
      <c r="I640" s="3">
        <v>12.68</v>
      </c>
      <c r="J640" s="3">
        <v>12.36</v>
      </c>
      <c r="K640" s="5">
        <f t="shared" si="64"/>
        <v>56</v>
      </c>
      <c r="L640">
        <v>56</v>
      </c>
      <c r="M640" t="s">
        <v>805</v>
      </c>
      <c r="N640">
        <f t="shared" si="63"/>
        <v>15</v>
      </c>
      <c r="O640" t="str">
        <f t="shared" si="65"/>
        <v>Valid</v>
      </c>
      <c r="P640" s="1" t="str">
        <f>IF(N640&gt;=(VLOOKUP(B640,Lembar2!$B$19:$C$24,2,FALSE)+7),"Delayed","Ontime")</f>
        <v>Ontime</v>
      </c>
      <c r="Q640" s="3">
        <f t="shared" si="66"/>
        <v>13453.48</v>
      </c>
      <c r="R640" s="3">
        <f t="shared" si="67"/>
        <v>13113.96</v>
      </c>
      <c r="S640" s="3">
        <f t="shared" si="68"/>
        <v>339.52000000000044</v>
      </c>
      <c r="T640">
        <f t="shared" si="69"/>
        <v>1</v>
      </c>
    </row>
    <row r="641" spans="1:20" x14ac:dyDescent="0.25">
      <c r="A641" t="s">
        <v>1444</v>
      </c>
      <c r="B641" t="s">
        <v>801</v>
      </c>
      <c r="C641" s="1">
        <v>44815</v>
      </c>
      <c r="D641" s="1">
        <f>IF(E641="",C641+VLOOKUP(B641,Lembar2!$B$19:$C$24,2,FALSE),'Procurement Dataset'!E641)</f>
        <v>44830</v>
      </c>
      <c r="E641" s="1">
        <v>44830</v>
      </c>
      <c r="F641" t="s">
        <v>799</v>
      </c>
      <c r="G641" t="s">
        <v>813</v>
      </c>
      <c r="H641" s="5">
        <v>502</v>
      </c>
      <c r="I641" s="3">
        <v>91.84</v>
      </c>
      <c r="J641" s="3">
        <v>82.33</v>
      </c>
      <c r="K641" s="5">
        <f t="shared" si="64"/>
        <v>0</v>
      </c>
      <c r="M641" t="s">
        <v>793</v>
      </c>
      <c r="N641">
        <f t="shared" si="63"/>
        <v>15</v>
      </c>
      <c r="O641" t="str">
        <f t="shared" si="65"/>
        <v>Valid</v>
      </c>
      <c r="P641" s="1" t="str">
        <f>IF(N641&gt;=(VLOOKUP(B641,Lembar2!$B$19:$C$24,2,FALSE)+7),"Delayed","Ontime")</f>
        <v>Ontime</v>
      </c>
      <c r="Q641" s="3">
        <f t="shared" si="66"/>
        <v>46103.68</v>
      </c>
      <c r="R641" s="3">
        <f t="shared" si="67"/>
        <v>41329.659999999996</v>
      </c>
      <c r="S641" s="3">
        <f t="shared" si="68"/>
        <v>4774.0200000000041</v>
      </c>
      <c r="T641">
        <f t="shared" si="69"/>
        <v>1</v>
      </c>
    </row>
    <row r="642" spans="1:20" x14ac:dyDescent="0.25">
      <c r="A642" t="s">
        <v>1445</v>
      </c>
      <c r="B642" t="s">
        <v>795</v>
      </c>
      <c r="C642" s="1">
        <v>45214</v>
      </c>
      <c r="D642" s="1">
        <f>IF(E642="",C642+VLOOKUP(B642,Lembar2!$B$19:$C$24,2,FALSE),'Procurement Dataset'!E642)</f>
        <v>45218</v>
      </c>
      <c r="E642" s="1">
        <v>45218</v>
      </c>
      <c r="F642" t="s">
        <v>802</v>
      </c>
      <c r="G642" t="s">
        <v>796</v>
      </c>
      <c r="H642" s="5">
        <v>1277</v>
      </c>
      <c r="I642" s="3">
        <v>13.17</v>
      </c>
      <c r="J642" s="3">
        <v>11.63</v>
      </c>
      <c r="K642" s="5">
        <f t="shared" si="64"/>
        <v>199</v>
      </c>
      <c r="L642">
        <v>199</v>
      </c>
      <c r="M642" t="s">
        <v>805</v>
      </c>
      <c r="N642">
        <f t="shared" ref="N642:N705" si="70">IF(E642 = "", "", E642-C642)</f>
        <v>4</v>
      </c>
      <c r="O642" t="str">
        <f t="shared" si="65"/>
        <v>Valid</v>
      </c>
      <c r="P642" s="1" t="str">
        <f>IF(N642&gt;=(VLOOKUP(B642,Lembar2!$B$19:$C$24,2,FALSE)+7),"Delayed","Ontime")</f>
        <v>Ontime</v>
      </c>
      <c r="Q642" s="3">
        <f t="shared" si="66"/>
        <v>16818.09</v>
      </c>
      <c r="R642" s="3">
        <f t="shared" si="67"/>
        <v>14851.51</v>
      </c>
      <c r="S642" s="3">
        <f t="shared" si="68"/>
        <v>1966.58</v>
      </c>
      <c r="T642">
        <f t="shared" si="69"/>
        <v>1</v>
      </c>
    </row>
    <row r="643" spans="1:20" x14ac:dyDescent="0.25">
      <c r="A643" t="s">
        <v>1446</v>
      </c>
      <c r="B643" t="s">
        <v>790</v>
      </c>
      <c r="C643" s="1">
        <v>44845</v>
      </c>
      <c r="D643" s="1">
        <f>IF(E643="",C643+VLOOKUP(B643,Lembar2!$B$19:$C$24,2,FALSE),'Procurement Dataset'!E643)</f>
        <v>44858</v>
      </c>
      <c r="E643" s="1">
        <v>44858</v>
      </c>
      <c r="F643" t="s">
        <v>802</v>
      </c>
      <c r="G643" t="s">
        <v>796</v>
      </c>
      <c r="H643" s="5">
        <v>961</v>
      </c>
      <c r="I643" s="3">
        <v>92.72</v>
      </c>
      <c r="J643" s="3">
        <v>88.49</v>
      </c>
      <c r="K643" s="5">
        <f t="shared" ref="K643:K706" si="71">IF(L643="", 0, L643)</f>
        <v>22</v>
      </c>
      <c r="L643">
        <v>22</v>
      </c>
      <c r="M643" t="s">
        <v>793</v>
      </c>
      <c r="N643">
        <f t="shared" si="70"/>
        <v>13</v>
      </c>
      <c r="O643" t="str">
        <f t="shared" ref="O643:O706" si="72">IF(D643&lt;C643,"Invalid","Valid")</f>
        <v>Valid</v>
      </c>
      <c r="P643" s="1" t="str">
        <f>IF(N643&gt;=(VLOOKUP(B643,Lembar2!$B$19:$C$24,2,FALSE)+7),"Delayed","Ontime")</f>
        <v>Ontime</v>
      </c>
      <c r="Q643" s="3">
        <f t="shared" ref="Q643:Q706" si="73">H643*I643</f>
        <v>89103.92</v>
      </c>
      <c r="R643" s="3">
        <f t="shared" ref="R643:R706" si="74">H643*J643</f>
        <v>85038.89</v>
      </c>
      <c r="S643" s="3">
        <f t="shared" ref="S643:S706" si="75">Q643-R643</f>
        <v>4065.0299999999988</v>
      </c>
      <c r="T643">
        <f t="shared" ref="T643:T706" si="76">IF(P643="Ontime",1,0)</f>
        <v>1</v>
      </c>
    </row>
    <row r="644" spans="1:20" x14ac:dyDescent="0.25">
      <c r="A644" t="s">
        <v>1447</v>
      </c>
      <c r="B644" t="s">
        <v>798</v>
      </c>
      <c r="C644" s="1">
        <v>45095</v>
      </c>
      <c r="D644" s="1">
        <f>IF(E644="",C644+VLOOKUP(B644,Lembar2!$B$19:$C$24,2,FALSE),'Procurement Dataset'!E644)</f>
        <v>45109</v>
      </c>
      <c r="E644" s="1">
        <v>45109</v>
      </c>
      <c r="F644" t="s">
        <v>802</v>
      </c>
      <c r="G644" t="s">
        <v>796</v>
      </c>
      <c r="H644" s="5">
        <v>267</v>
      </c>
      <c r="I644" s="3">
        <v>62.5</v>
      </c>
      <c r="J644" s="3">
        <v>61.18</v>
      </c>
      <c r="K644" s="5">
        <f t="shared" si="71"/>
        <v>17</v>
      </c>
      <c r="L644">
        <v>17</v>
      </c>
      <c r="M644" t="s">
        <v>793</v>
      </c>
      <c r="N644">
        <f t="shared" si="70"/>
        <v>14</v>
      </c>
      <c r="O644" t="str">
        <f t="shared" si="72"/>
        <v>Valid</v>
      </c>
      <c r="P644" s="1" t="str">
        <f>IF(N644&gt;=(VLOOKUP(B644,Lembar2!$B$19:$C$24,2,FALSE)+7),"Delayed","Ontime")</f>
        <v>Ontime</v>
      </c>
      <c r="Q644" s="3">
        <f t="shared" si="73"/>
        <v>16687.5</v>
      </c>
      <c r="R644" s="3">
        <f t="shared" si="74"/>
        <v>16335.06</v>
      </c>
      <c r="S644" s="3">
        <f t="shared" si="75"/>
        <v>352.44000000000051</v>
      </c>
      <c r="T644">
        <f t="shared" si="76"/>
        <v>1</v>
      </c>
    </row>
    <row r="645" spans="1:20" x14ac:dyDescent="0.25">
      <c r="A645" t="s">
        <v>1448</v>
      </c>
      <c r="B645" t="s">
        <v>795</v>
      </c>
      <c r="C645" s="1">
        <v>45058</v>
      </c>
      <c r="D645" s="1">
        <f>IF(E645="",C645+VLOOKUP(B645,Lembar2!$B$19:$C$24,2,FALSE),'Procurement Dataset'!E645)</f>
        <v>45064</v>
      </c>
      <c r="E645" s="1">
        <v>45064</v>
      </c>
      <c r="F645" t="s">
        <v>804</v>
      </c>
      <c r="G645" t="s">
        <v>792</v>
      </c>
      <c r="H645" s="5">
        <v>523</v>
      </c>
      <c r="I645" s="3">
        <v>102.08</v>
      </c>
      <c r="J645" s="3">
        <v>99.59</v>
      </c>
      <c r="K645" s="5">
        <f t="shared" si="71"/>
        <v>0</v>
      </c>
      <c r="M645" t="s">
        <v>793</v>
      </c>
      <c r="N645">
        <f t="shared" si="70"/>
        <v>6</v>
      </c>
      <c r="O645" t="str">
        <f t="shared" si="72"/>
        <v>Valid</v>
      </c>
      <c r="P645" s="1" t="str">
        <f>IF(N645&gt;=(VLOOKUP(B645,Lembar2!$B$19:$C$24,2,FALSE)+7),"Delayed","Ontime")</f>
        <v>Ontime</v>
      </c>
      <c r="Q645" s="3">
        <f t="shared" si="73"/>
        <v>53387.839999999997</v>
      </c>
      <c r="R645" s="3">
        <f t="shared" si="74"/>
        <v>52085.57</v>
      </c>
      <c r="S645" s="3">
        <f t="shared" si="75"/>
        <v>1302.2699999999968</v>
      </c>
      <c r="T645">
        <f t="shared" si="76"/>
        <v>1</v>
      </c>
    </row>
    <row r="646" spans="1:20" x14ac:dyDescent="0.25">
      <c r="A646" t="s">
        <v>1449</v>
      </c>
      <c r="B646" t="s">
        <v>807</v>
      </c>
      <c r="C646" s="1">
        <v>45203</v>
      </c>
      <c r="D646" s="1">
        <f>IF(E646="",C646+VLOOKUP(B646,Lembar2!$B$19:$C$24,2,FALSE),'Procurement Dataset'!E646)</f>
        <v>45222</v>
      </c>
      <c r="E646" s="1">
        <v>45222</v>
      </c>
      <c r="F646" t="s">
        <v>817</v>
      </c>
      <c r="G646" t="s">
        <v>813</v>
      </c>
      <c r="H646" s="5">
        <v>481</v>
      </c>
      <c r="I646" s="3">
        <v>90.49</v>
      </c>
      <c r="J646" s="3">
        <v>77.17</v>
      </c>
      <c r="K646" s="5">
        <f t="shared" si="71"/>
        <v>0</v>
      </c>
      <c r="M646" t="s">
        <v>793</v>
      </c>
      <c r="N646">
        <f t="shared" si="70"/>
        <v>19</v>
      </c>
      <c r="O646" t="str">
        <f t="shared" si="72"/>
        <v>Valid</v>
      </c>
      <c r="P646" s="1" t="str">
        <f>IF(N646&gt;=(VLOOKUP(B646,Lembar2!$B$19:$C$24,2,FALSE)+7),"Delayed","Ontime")</f>
        <v>Delayed</v>
      </c>
      <c r="Q646" s="3">
        <f t="shared" si="73"/>
        <v>43525.689999999995</v>
      </c>
      <c r="R646" s="3">
        <f t="shared" si="74"/>
        <v>37118.770000000004</v>
      </c>
      <c r="S646" s="3">
        <f t="shared" si="75"/>
        <v>6406.919999999991</v>
      </c>
      <c r="T646">
        <f t="shared" si="76"/>
        <v>0</v>
      </c>
    </row>
    <row r="647" spans="1:20" x14ac:dyDescent="0.25">
      <c r="A647" t="s">
        <v>1450</v>
      </c>
      <c r="B647" t="s">
        <v>798</v>
      </c>
      <c r="C647" s="1">
        <v>44806</v>
      </c>
      <c r="D647" s="1">
        <f>IF(E647="",C647+VLOOKUP(B647,Lembar2!$B$19:$C$24,2,FALSE),'Procurement Dataset'!E647)</f>
        <v>44813</v>
      </c>
      <c r="E647" s="1">
        <v>44813</v>
      </c>
      <c r="F647" t="s">
        <v>791</v>
      </c>
      <c r="G647" t="s">
        <v>796</v>
      </c>
      <c r="H647" s="5">
        <v>390</v>
      </c>
      <c r="I647" s="3">
        <v>103.81</v>
      </c>
      <c r="J647" s="3">
        <v>100.12</v>
      </c>
      <c r="K647" s="5">
        <f t="shared" si="71"/>
        <v>20</v>
      </c>
      <c r="L647">
        <v>20</v>
      </c>
      <c r="M647" t="s">
        <v>793</v>
      </c>
      <c r="N647">
        <f t="shared" si="70"/>
        <v>7</v>
      </c>
      <c r="O647" t="str">
        <f t="shared" si="72"/>
        <v>Valid</v>
      </c>
      <c r="P647" s="1" t="str">
        <f>IF(N647&gt;=(VLOOKUP(B647,Lembar2!$B$19:$C$24,2,FALSE)+7),"Delayed","Ontime")</f>
        <v>Ontime</v>
      </c>
      <c r="Q647" s="3">
        <f t="shared" si="73"/>
        <v>40485.9</v>
      </c>
      <c r="R647" s="3">
        <f t="shared" si="74"/>
        <v>39046.800000000003</v>
      </c>
      <c r="S647" s="3">
        <f t="shared" si="75"/>
        <v>1439.0999999999985</v>
      </c>
      <c r="T647">
        <f t="shared" si="76"/>
        <v>1</v>
      </c>
    </row>
    <row r="648" spans="1:20" x14ac:dyDescent="0.25">
      <c r="A648" t="s">
        <v>1451</v>
      </c>
      <c r="B648" t="s">
        <v>807</v>
      </c>
      <c r="C648" s="1">
        <v>44843</v>
      </c>
      <c r="D648" s="1">
        <f>IF(E648="",C648+VLOOKUP(B648,Lembar2!$B$19:$C$24,2,FALSE),'Procurement Dataset'!E648)</f>
        <v>44859</v>
      </c>
      <c r="E648" s="1">
        <v>44859</v>
      </c>
      <c r="F648" t="s">
        <v>802</v>
      </c>
      <c r="G648" t="s">
        <v>796</v>
      </c>
      <c r="H648" s="5">
        <v>600</v>
      </c>
      <c r="I648" s="3">
        <v>43.43</v>
      </c>
      <c r="J648" s="3">
        <v>38.76</v>
      </c>
      <c r="K648" s="5">
        <f t="shared" si="71"/>
        <v>22</v>
      </c>
      <c r="L648">
        <v>22</v>
      </c>
      <c r="M648" t="s">
        <v>793</v>
      </c>
      <c r="N648">
        <f t="shared" si="70"/>
        <v>16</v>
      </c>
      <c r="O648" t="str">
        <f t="shared" si="72"/>
        <v>Valid</v>
      </c>
      <c r="P648" s="1" t="str">
        <f>IF(N648&gt;=(VLOOKUP(B648,Lembar2!$B$19:$C$24,2,FALSE)+7),"Delayed","Ontime")</f>
        <v>Ontime</v>
      </c>
      <c r="Q648" s="3">
        <f t="shared" si="73"/>
        <v>26058</v>
      </c>
      <c r="R648" s="3">
        <f t="shared" si="74"/>
        <v>23256</v>
      </c>
      <c r="S648" s="3">
        <f t="shared" si="75"/>
        <v>2802</v>
      </c>
      <c r="T648">
        <f t="shared" si="76"/>
        <v>1</v>
      </c>
    </row>
    <row r="649" spans="1:20" x14ac:dyDescent="0.25">
      <c r="A649" t="s">
        <v>1452</v>
      </c>
      <c r="B649" t="s">
        <v>795</v>
      </c>
      <c r="C649" s="1">
        <v>45012</v>
      </c>
      <c r="D649" s="1">
        <f>IF(E649="",C649+VLOOKUP(B649,Lembar2!$B$19:$C$24,2,FALSE),'Procurement Dataset'!E649)</f>
        <v>45023</v>
      </c>
      <c r="F649" t="s">
        <v>791</v>
      </c>
      <c r="G649" t="s">
        <v>796</v>
      </c>
      <c r="H649" s="5">
        <v>1685</v>
      </c>
      <c r="I649" s="3">
        <v>84.58</v>
      </c>
      <c r="J649" s="3">
        <v>75.209999999999994</v>
      </c>
      <c r="K649" s="5">
        <f t="shared" si="71"/>
        <v>253</v>
      </c>
      <c r="L649">
        <v>253</v>
      </c>
      <c r="M649" t="s">
        <v>805</v>
      </c>
      <c r="N649" t="str">
        <f t="shared" si="70"/>
        <v/>
      </c>
      <c r="O649" t="str">
        <f t="shared" si="72"/>
        <v>Valid</v>
      </c>
      <c r="P649" s="1" t="str">
        <f>IF(N649&gt;=(VLOOKUP(B649,Lembar2!$B$19:$C$24,2,FALSE)+7),"Delayed","Ontime")</f>
        <v>Delayed</v>
      </c>
      <c r="Q649" s="3">
        <f t="shared" si="73"/>
        <v>142517.29999999999</v>
      </c>
      <c r="R649" s="3">
        <f t="shared" si="74"/>
        <v>126728.84999999999</v>
      </c>
      <c r="S649" s="3">
        <f t="shared" si="75"/>
        <v>15788.449999999997</v>
      </c>
      <c r="T649">
        <f t="shared" si="76"/>
        <v>0</v>
      </c>
    </row>
    <row r="650" spans="1:20" x14ac:dyDescent="0.25">
      <c r="A650" t="s">
        <v>1453</v>
      </c>
      <c r="B650" t="s">
        <v>807</v>
      </c>
      <c r="C650" s="1">
        <v>44641</v>
      </c>
      <c r="D650" s="1">
        <f>IF(E650="",C650+VLOOKUP(B650,Lembar2!$B$19:$C$24,2,FALSE),'Procurement Dataset'!E650)</f>
        <v>44651</v>
      </c>
      <c r="E650" s="1">
        <v>44651</v>
      </c>
      <c r="F650" t="s">
        <v>802</v>
      </c>
      <c r="G650" t="s">
        <v>792</v>
      </c>
      <c r="H650" s="5">
        <v>1362</v>
      </c>
      <c r="I650" s="3">
        <v>46.64</v>
      </c>
      <c r="J650" s="3">
        <v>42.85</v>
      </c>
      <c r="K650" s="5">
        <f t="shared" si="71"/>
        <v>33</v>
      </c>
      <c r="L650">
        <v>33</v>
      </c>
      <c r="M650" t="s">
        <v>793</v>
      </c>
      <c r="N650">
        <f t="shared" si="70"/>
        <v>10</v>
      </c>
      <c r="O650" t="str">
        <f t="shared" si="72"/>
        <v>Valid</v>
      </c>
      <c r="P650" s="1" t="str">
        <f>IF(N650&gt;=(VLOOKUP(B650,Lembar2!$B$19:$C$24,2,FALSE)+7),"Delayed","Ontime")</f>
        <v>Ontime</v>
      </c>
      <c r="Q650" s="3">
        <f t="shared" si="73"/>
        <v>63523.68</v>
      </c>
      <c r="R650" s="3">
        <f t="shared" si="74"/>
        <v>58361.700000000004</v>
      </c>
      <c r="S650" s="3">
        <f t="shared" si="75"/>
        <v>5161.9799999999959</v>
      </c>
      <c r="T650">
        <f t="shared" si="76"/>
        <v>1</v>
      </c>
    </row>
    <row r="651" spans="1:20" x14ac:dyDescent="0.25">
      <c r="A651" t="s">
        <v>1454</v>
      </c>
      <c r="B651" t="s">
        <v>795</v>
      </c>
      <c r="C651" s="1">
        <v>45292</v>
      </c>
      <c r="D651" s="1">
        <f>IF(E651="",C651+VLOOKUP(B651,Lembar2!$B$19:$C$24,2,FALSE),'Procurement Dataset'!E651)</f>
        <v>45295</v>
      </c>
      <c r="E651" s="1">
        <v>45295</v>
      </c>
      <c r="F651" t="s">
        <v>817</v>
      </c>
      <c r="G651" t="s">
        <v>813</v>
      </c>
      <c r="H651" s="5">
        <v>1327</v>
      </c>
      <c r="I651" s="3">
        <v>59.57</v>
      </c>
      <c r="J651" s="3">
        <v>56.44</v>
      </c>
      <c r="K651" s="5">
        <f t="shared" si="71"/>
        <v>169</v>
      </c>
      <c r="L651">
        <v>169</v>
      </c>
      <c r="M651" t="s">
        <v>793</v>
      </c>
      <c r="N651">
        <f t="shared" si="70"/>
        <v>3</v>
      </c>
      <c r="O651" t="str">
        <f t="shared" si="72"/>
        <v>Valid</v>
      </c>
      <c r="P651" s="1" t="str">
        <f>IF(N651&gt;=(VLOOKUP(B651,Lembar2!$B$19:$C$24,2,FALSE)+7),"Delayed","Ontime")</f>
        <v>Ontime</v>
      </c>
      <c r="Q651" s="3">
        <f t="shared" si="73"/>
        <v>79049.39</v>
      </c>
      <c r="R651" s="3">
        <f t="shared" si="74"/>
        <v>74895.87999999999</v>
      </c>
      <c r="S651" s="3">
        <f t="shared" si="75"/>
        <v>4153.5100000000093</v>
      </c>
      <c r="T651">
        <f t="shared" si="76"/>
        <v>1</v>
      </c>
    </row>
    <row r="652" spans="1:20" x14ac:dyDescent="0.25">
      <c r="A652" t="s">
        <v>1455</v>
      </c>
      <c r="B652" t="s">
        <v>807</v>
      </c>
      <c r="C652" s="1">
        <v>44854</v>
      </c>
      <c r="D652" s="1">
        <f>IF(E652="",C652+VLOOKUP(B652,Lembar2!$B$19:$C$24,2,FALSE),'Procurement Dataset'!E652)</f>
        <v>44865</v>
      </c>
      <c r="F652" t="s">
        <v>799</v>
      </c>
      <c r="G652" t="s">
        <v>796</v>
      </c>
      <c r="H652" s="5">
        <v>1807</v>
      </c>
      <c r="I652" s="3">
        <v>69.47</v>
      </c>
      <c r="J652" s="3">
        <v>60</v>
      </c>
      <c r="K652" s="5">
        <f t="shared" si="71"/>
        <v>50</v>
      </c>
      <c r="L652">
        <v>50</v>
      </c>
      <c r="M652" t="s">
        <v>793</v>
      </c>
      <c r="N652" t="str">
        <f t="shared" si="70"/>
        <v/>
      </c>
      <c r="O652" t="str">
        <f t="shared" si="72"/>
        <v>Valid</v>
      </c>
      <c r="P652" s="1" t="str">
        <f>IF(N652&gt;=(VLOOKUP(B652,Lembar2!$B$19:$C$24,2,FALSE)+7),"Delayed","Ontime")</f>
        <v>Delayed</v>
      </c>
      <c r="Q652" s="3">
        <f t="shared" si="73"/>
        <v>125532.29</v>
      </c>
      <c r="R652" s="3">
        <f t="shared" si="74"/>
        <v>108420</v>
      </c>
      <c r="S652" s="3">
        <f t="shared" si="75"/>
        <v>17112.289999999994</v>
      </c>
      <c r="T652">
        <f t="shared" si="76"/>
        <v>0</v>
      </c>
    </row>
    <row r="653" spans="1:20" x14ac:dyDescent="0.25">
      <c r="A653" t="s">
        <v>1456</v>
      </c>
      <c r="B653" t="s">
        <v>790</v>
      </c>
      <c r="C653" s="1">
        <v>44802</v>
      </c>
      <c r="D653" s="1">
        <f>IF(E653="",C653+VLOOKUP(B653,Lembar2!$B$19:$C$24,2,FALSE),'Procurement Dataset'!E653)</f>
        <v>44810</v>
      </c>
      <c r="E653" s="1">
        <v>44810</v>
      </c>
      <c r="F653" t="s">
        <v>791</v>
      </c>
      <c r="G653" t="s">
        <v>813</v>
      </c>
      <c r="H653" s="5">
        <v>406</v>
      </c>
      <c r="I653" s="3">
        <v>91.73</v>
      </c>
      <c r="J653" s="3">
        <v>89.13</v>
      </c>
      <c r="K653" s="5">
        <f t="shared" si="71"/>
        <v>0</v>
      </c>
      <c r="M653" t="s">
        <v>793</v>
      </c>
      <c r="N653">
        <f t="shared" si="70"/>
        <v>8</v>
      </c>
      <c r="O653" t="str">
        <f t="shared" si="72"/>
        <v>Valid</v>
      </c>
      <c r="P653" s="1" t="str">
        <f>IF(N653&gt;=(VLOOKUP(B653,Lembar2!$B$19:$C$24,2,FALSE)+7),"Delayed","Ontime")</f>
        <v>Ontime</v>
      </c>
      <c r="Q653" s="3">
        <f t="shared" si="73"/>
        <v>37242.380000000005</v>
      </c>
      <c r="R653" s="3">
        <f t="shared" si="74"/>
        <v>36186.78</v>
      </c>
      <c r="S653" s="3">
        <f t="shared" si="75"/>
        <v>1055.6000000000058</v>
      </c>
      <c r="T653">
        <f t="shared" si="76"/>
        <v>1</v>
      </c>
    </row>
    <row r="654" spans="1:20" x14ac:dyDescent="0.25">
      <c r="A654" t="s">
        <v>1457</v>
      </c>
      <c r="B654" t="s">
        <v>798</v>
      </c>
      <c r="C654" s="1">
        <v>44840</v>
      </c>
      <c r="D654" s="1">
        <f>IF(E654="",C654+VLOOKUP(B654,Lembar2!$B$19:$C$24,2,FALSE),'Procurement Dataset'!E654)</f>
        <v>44852</v>
      </c>
      <c r="E654" s="1">
        <v>44852</v>
      </c>
      <c r="F654" t="s">
        <v>804</v>
      </c>
      <c r="G654" t="s">
        <v>811</v>
      </c>
      <c r="H654" s="5">
        <v>72</v>
      </c>
      <c r="I654" s="3">
        <v>103</v>
      </c>
      <c r="J654" s="3">
        <v>89.49</v>
      </c>
      <c r="K654" s="5">
        <f t="shared" si="71"/>
        <v>1</v>
      </c>
      <c r="L654">
        <v>1</v>
      </c>
      <c r="M654" t="s">
        <v>805</v>
      </c>
      <c r="N654">
        <f t="shared" si="70"/>
        <v>12</v>
      </c>
      <c r="O654" t="str">
        <f t="shared" si="72"/>
        <v>Valid</v>
      </c>
      <c r="P654" s="1" t="str">
        <f>IF(N654&gt;=(VLOOKUP(B654,Lembar2!$B$19:$C$24,2,FALSE)+7),"Delayed","Ontime")</f>
        <v>Ontime</v>
      </c>
      <c r="Q654" s="3">
        <f t="shared" si="73"/>
        <v>7416</v>
      </c>
      <c r="R654" s="3">
        <f t="shared" si="74"/>
        <v>6443.28</v>
      </c>
      <c r="S654" s="3">
        <f t="shared" si="75"/>
        <v>972.72000000000025</v>
      </c>
      <c r="T654">
        <f t="shared" si="76"/>
        <v>1</v>
      </c>
    </row>
    <row r="655" spans="1:20" x14ac:dyDescent="0.25">
      <c r="A655" t="s">
        <v>1458</v>
      </c>
      <c r="B655" t="s">
        <v>798</v>
      </c>
      <c r="C655" s="1">
        <v>44905</v>
      </c>
      <c r="D655" s="1">
        <f>IF(E655="",C655+VLOOKUP(B655,Lembar2!$B$19:$C$24,2,FALSE),'Procurement Dataset'!E655)</f>
        <v>44915</v>
      </c>
      <c r="E655" s="1">
        <v>44915</v>
      </c>
      <c r="F655" t="s">
        <v>791</v>
      </c>
      <c r="G655" t="s">
        <v>796</v>
      </c>
      <c r="H655" s="5">
        <v>1835</v>
      </c>
      <c r="I655" s="3">
        <v>83.5</v>
      </c>
      <c r="J655" s="3">
        <v>82.36</v>
      </c>
      <c r="K655" s="5">
        <f t="shared" si="71"/>
        <v>85</v>
      </c>
      <c r="L655">
        <v>85</v>
      </c>
      <c r="M655" t="s">
        <v>805</v>
      </c>
      <c r="N655">
        <f t="shared" si="70"/>
        <v>10</v>
      </c>
      <c r="O655" t="str">
        <f t="shared" si="72"/>
        <v>Valid</v>
      </c>
      <c r="P655" s="1" t="str">
        <f>IF(N655&gt;=(VLOOKUP(B655,Lembar2!$B$19:$C$24,2,FALSE)+7),"Delayed","Ontime")</f>
        <v>Ontime</v>
      </c>
      <c r="Q655" s="3">
        <f t="shared" si="73"/>
        <v>153222.5</v>
      </c>
      <c r="R655" s="3">
        <f t="shared" si="74"/>
        <v>151130.6</v>
      </c>
      <c r="S655" s="3">
        <f t="shared" si="75"/>
        <v>2091.8999999999942</v>
      </c>
      <c r="T655">
        <f t="shared" si="76"/>
        <v>1</v>
      </c>
    </row>
    <row r="656" spans="1:20" x14ac:dyDescent="0.25">
      <c r="A656" t="s">
        <v>1459</v>
      </c>
      <c r="B656" t="s">
        <v>795</v>
      </c>
      <c r="C656" s="1">
        <v>44889</v>
      </c>
      <c r="D656" s="1">
        <f>IF(E656="",C656+VLOOKUP(B656,Lembar2!$B$19:$C$24,2,FALSE),'Procurement Dataset'!E656)</f>
        <v>44905</v>
      </c>
      <c r="E656" s="1">
        <v>44905</v>
      </c>
      <c r="F656" t="s">
        <v>817</v>
      </c>
      <c r="G656" t="s">
        <v>813</v>
      </c>
      <c r="H656" s="5">
        <v>571</v>
      </c>
      <c r="I656" s="3">
        <v>49.98</v>
      </c>
      <c r="J656" s="3">
        <v>45.58</v>
      </c>
      <c r="K656" s="5">
        <f t="shared" si="71"/>
        <v>0</v>
      </c>
      <c r="M656" t="s">
        <v>805</v>
      </c>
      <c r="N656">
        <f t="shared" si="70"/>
        <v>16</v>
      </c>
      <c r="O656" t="str">
        <f t="shared" si="72"/>
        <v>Valid</v>
      </c>
      <c r="P656" s="1" t="str">
        <f>IF(N656&gt;=(VLOOKUP(B656,Lembar2!$B$19:$C$24,2,FALSE)+7),"Delayed","Ontime")</f>
        <v>Ontime</v>
      </c>
      <c r="Q656" s="3">
        <f t="shared" si="73"/>
        <v>28538.579999999998</v>
      </c>
      <c r="R656" s="3">
        <f t="shared" si="74"/>
        <v>26026.18</v>
      </c>
      <c r="S656" s="3">
        <f t="shared" si="75"/>
        <v>2512.3999999999978</v>
      </c>
      <c r="T656">
        <f t="shared" si="76"/>
        <v>1</v>
      </c>
    </row>
    <row r="657" spans="1:20" x14ac:dyDescent="0.25">
      <c r="A657" t="s">
        <v>1460</v>
      </c>
      <c r="B657" t="s">
        <v>807</v>
      </c>
      <c r="C657" s="1">
        <v>45115</v>
      </c>
      <c r="D657" s="1">
        <f>IF(E657="",C657+VLOOKUP(B657,Lembar2!$B$19:$C$24,2,FALSE),'Procurement Dataset'!E657)</f>
        <v>45116</v>
      </c>
      <c r="E657" s="1">
        <v>45116</v>
      </c>
      <c r="F657" t="s">
        <v>802</v>
      </c>
      <c r="G657" t="s">
        <v>796</v>
      </c>
      <c r="H657" s="5">
        <v>1831</v>
      </c>
      <c r="I657" s="3">
        <v>52.24</v>
      </c>
      <c r="J657" s="3">
        <v>50.44</v>
      </c>
      <c r="K657" s="5">
        <f t="shared" si="71"/>
        <v>60</v>
      </c>
      <c r="L657">
        <v>60</v>
      </c>
      <c r="M657" t="s">
        <v>793</v>
      </c>
      <c r="N657">
        <f t="shared" si="70"/>
        <v>1</v>
      </c>
      <c r="O657" t="str">
        <f t="shared" si="72"/>
        <v>Valid</v>
      </c>
      <c r="P657" s="1" t="str">
        <f>IF(N657&gt;=(VLOOKUP(B657,Lembar2!$B$19:$C$24,2,FALSE)+7),"Delayed","Ontime")</f>
        <v>Ontime</v>
      </c>
      <c r="Q657" s="3">
        <f t="shared" si="73"/>
        <v>95651.44</v>
      </c>
      <c r="R657" s="3">
        <f t="shared" si="74"/>
        <v>92355.64</v>
      </c>
      <c r="S657" s="3">
        <f t="shared" si="75"/>
        <v>3295.8000000000029</v>
      </c>
      <c r="T657">
        <f t="shared" si="76"/>
        <v>1</v>
      </c>
    </row>
    <row r="658" spans="1:20" x14ac:dyDescent="0.25">
      <c r="A658" t="s">
        <v>1461</v>
      </c>
      <c r="B658" t="s">
        <v>801</v>
      </c>
      <c r="C658" s="1">
        <v>44644</v>
      </c>
      <c r="D658" s="1">
        <f>IF(E658="",C658+VLOOKUP(B658,Lembar2!$B$19:$C$24,2,FALSE),'Procurement Dataset'!E658)</f>
        <v>44658</v>
      </c>
      <c r="E658" s="1">
        <v>44658</v>
      </c>
      <c r="F658" t="s">
        <v>791</v>
      </c>
      <c r="G658" t="s">
        <v>813</v>
      </c>
      <c r="H658" s="5">
        <v>1910</v>
      </c>
      <c r="I658" s="3">
        <v>77.150000000000006</v>
      </c>
      <c r="J658" s="3">
        <v>68.489999999999995</v>
      </c>
      <c r="K658" s="5">
        <f t="shared" si="71"/>
        <v>170</v>
      </c>
      <c r="L658">
        <v>170</v>
      </c>
      <c r="M658" t="s">
        <v>793</v>
      </c>
      <c r="N658">
        <f t="shared" si="70"/>
        <v>14</v>
      </c>
      <c r="O658" t="str">
        <f t="shared" si="72"/>
        <v>Valid</v>
      </c>
      <c r="P658" s="1" t="str">
        <f>IF(N658&gt;=(VLOOKUP(B658,Lembar2!$B$19:$C$24,2,FALSE)+7),"Delayed","Ontime")</f>
        <v>Ontime</v>
      </c>
      <c r="Q658" s="3">
        <f t="shared" si="73"/>
        <v>147356.5</v>
      </c>
      <c r="R658" s="3">
        <f t="shared" si="74"/>
        <v>130815.9</v>
      </c>
      <c r="S658" s="3">
        <f t="shared" si="75"/>
        <v>16540.600000000006</v>
      </c>
      <c r="T658">
        <f t="shared" si="76"/>
        <v>1</v>
      </c>
    </row>
    <row r="659" spans="1:20" x14ac:dyDescent="0.25">
      <c r="A659" t="s">
        <v>1462</v>
      </c>
      <c r="B659" t="s">
        <v>798</v>
      </c>
      <c r="C659" s="1">
        <v>44703</v>
      </c>
      <c r="D659" s="1">
        <f>IF(E659="",C659+VLOOKUP(B659,Lembar2!$B$19:$C$24,2,FALSE),'Procurement Dataset'!E659)</f>
        <v>44712</v>
      </c>
      <c r="E659" s="1">
        <v>44712</v>
      </c>
      <c r="F659" t="s">
        <v>817</v>
      </c>
      <c r="G659" t="s">
        <v>811</v>
      </c>
      <c r="H659" s="5">
        <v>1173</v>
      </c>
      <c r="I659" s="3">
        <v>32.119999999999997</v>
      </c>
      <c r="J659" s="3">
        <v>29.18</v>
      </c>
      <c r="K659" s="5">
        <f t="shared" si="71"/>
        <v>0</v>
      </c>
      <c r="M659" t="s">
        <v>793</v>
      </c>
      <c r="N659">
        <f t="shared" si="70"/>
        <v>9</v>
      </c>
      <c r="O659" t="str">
        <f t="shared" si="72"/>
        <v>Valid</v>
      </c>
      <c r="P659" s="1" t="str">
        <f>IF(N659&gt;=(VLOOKUP(B659,Lembar2!$B$19:$C$24,2,FALSE)+7),"Delayed","Ontime")</f>
        <v>Ontime</v>
      </c>
      <c r="Q659" s="3">
        <f t="shared" si="73"/>
        <v>37676.759999999995</v>
      </c>
      <c r="R659" s="3">
        <f t="shared" si="74"/>
        <v>34228.14</v>
      </c>
      <c r="S659" s="3">
        <f t="shared" si="75"/>
        <v>3448.6199999999953</v>
      </c>
      <c r="T659">
        <f t="shared" si="76"/>
        <v>1</v>
      </c>
    </row>
    <row r="660" spans="1:20" x14ac:dyDescent="0.25">
      <c r="A660" t="s">
        <v>1463</v>
      </c>
      <c r="B660" t="s">
        <v>807</v>
      </c>
      <c r="C660" s="1">
        <v>44716</v>
      </c>
      <c r="D660" s="1">
        <f>IF(E660="",C660+VLOOKUP(B660,Lembar2!$B$19:$C$24,2,FALSE),'Procurement Dataset'!E660)</f>
        <v>44729</v>
      </c>
      <c r="E660" s="1">
        <v>44729</v>
      </c>
      <c r="F660" t="s">
        <v>802</v>
      </c>
      <c r="G660" t="s">
        <v>811</v>
      </c>
      <c r="H660" s="5">
        <v>851</v>
      </c>
      <c r="I660" s="3">
        <v>20.440000000000001</v>
      </c>
      <c r="J660" s="3">
        <v>19.22</v>
      </c>
      <c r="K660" s="5">
        <f t="shared" si="71"/>
        <v>22</v>
      </c>
      <c r="L660">
        <v>22</v>
      </c>
      <c r="M660" t="s">
        <v>793</v>
      </c>
      <c r="N660">
        <f t="shared" si="70"/>
        <v>13</v>
      </c>
      <c r="O660" t="str">
        <f t="shared" si="72"/>
        <v>Valid</v>
      </c>
      <c r="P660" s="1" t="str">
        <f>IF(N660&gt;=(VLOOKUP(B660,Lembar2!$B$19:$C$24,2,FALSE)+7),"Delayed","Ontime")</f>
        <v>Ontime</v>
      </c>
      <c r="Q660" s="3">
        <f t="shared" si="73"/>
        <v>17394.440000000002</v>
      </c>
      <c r="R660" s="3">
        <f t="shared" si="74"/>
        <v>16356.22</v>
      </c>
      <c r="S660" s="3">
        <f t="shared" si="75"/>
        <v>1038.220000000003</v>
      </c>
      <c r="T660">
        <f t="shared" si="76"/>
        <v>1</v>
      </c>
    </row>
    <row r="661" spans="1:20" x14ac:dyDescent="0.25">
      <c r="A661" t="s">
        <v>1464</v>
      </c>
      <c r="B661" t="s">
        <v>807</v>
      </c>
      <c r="C661" s="1">
        <v>44798</v>
      </c>
      <c r="D661" s="1">
        <f>IF(E661="",C661+VLOOKUP(B661,Lembar2!$B$19:$C$24,2,FALSE),'Procurement Dataset'!E661)</f>
        <v>44811</v>
      </c>
      <c r="E661" s="1">
        <v>44811</v>
      </c>
      <c r="F661" t="s">
        <v>799</v>
      </c>
      <c r="G661" t="s">
        <v>792</v>
      </c>
      <c r="H661" s="5">
        <v>1253</v>
      </c>
      <c r="I661" s="3">
        <v>43.38</v>
      </c>
      <c r="J661" s="3">
        <v>38.01</v>
      </c>
      <c r="K661" s="5">
        <f t="shared" si="71"/>
        <v>34</v>
      </c>
      <c r="L661">
        <v>34</v>
      </c>
      <c r="M661" t="s">
        <v>793</v>
      </c>
      <c r="N661">
        <f t="shared" si="70"/>
        <v>13</v>
      </c>
      <c r="O661" t="str">
        <f t="shared" si="72"/>
        <v>Valid</v>
      </c>
      <c r="P661" s="1" t="str">
        <f>IF(N661&gt;=(VLOOKUP(B661,Lembar2!$B$19:$C$24,2,FALSE)+7),"Delayed","Ontime")</f>
        <v>Ontime</v>
      </c>
      <c r="Q661" s="3">
        <f t="shared" si="73"/>
        <v>54355.140000000007</v>
      </c>
      <c r="R661" s="3">
        <f t="shared" si="74"/>
        <v>47626.53</v>
      </c>
      <c r="S661" s="3">
        <f t="shared" si="75"/>
        <v>6728.6100000000079</v>
      </c>
      <c r="T661">
        <f t="shared" si="76"/>
        <v>1</v>
      </c>
    </row>
    <row r="662" spans="1:20" x14ac:dyDescent="0.25">
      <c r="A662" t="s">
        <v>1465</v>
      </c>
      <c r="B662" t="s">
        <v>790</v>
      </c>
      <c r="C662" s="1">
        <v>44954</v>
      </c>
      <c r="D662" s="1">
        <f>IF(E662="",C662+VLOOKUP(B662,Lembar2!$B$19:$C$24,2,FALSE),'Procurement Dataset'!E662)</f>
        <v>44972</v>
      </c>
      <c r="E662" s="1">
        <v>44972</v>
      </c>
      <c r="F662" t="s">
        <v>817</v>
      </c>
      <c r="G662" t="s">
        <v>796</v>
      </c>
      <c r="H662" s="5">
        <v>1296</v>
      </c>
      <c r="I662" s="3">
        <v>38</v>
      </c>
      <c r="J662" s="3">
        <v>33.42</v>
      </c>
      <c r="K662" s="5">
        <f t="shared" si="71"/>
        <v>33</v>
      </c>
      <c r="L662">
        <v>33</v>
      </c>
      <c r="M662" t="s">
        <v>793</v>
      </c>
      <c r="N662">
        <f t="shared" si="70"/>
        <v>18</v>
      </c>
      <c r="O662" t="str">
        <f t="shared" si="72"/>
        <v>Valid</v>
      </c>
      <c r="P662" s="1" t="str">
        <f>IF(N662&gt;=(VLOOKUP(B662,Lembar2!$B$19:$C$24,2,FALSE)+7),"Delayed","Ontime")</f>
        <v>Delayed</v>
      </c>
      <c r="Q662" s="3">
        <f t="shared" si="73"/>
        <v>49248</v>
      </c>
      <c r="R662" s="3">
        <f t="shared" si="74"/>
        <v>43312.32</v>
      </c>
      <c r="S662" s="3">
        <f t="shared" si="75"/>
        <v>5935.68</v>
      </c>
      <c r="T662">
        <f t="shared" si="76"/>
        <v>0</v>
      </c>
    </row>
    <row r="663" spans="1:20" x14ac:dyDescent="0.25">
      <c r="A663" t="s">
        <v>1466</v>
      </c>
      <c r="B663" t="s">
        <v>801</v>
      </c>
      <c r="C663" s="1">
        <v>45272</v>
      </c>
      <c r="D663" s="1">
        <f>IF(E663="",C663+VLOOKUP(B663,Lembar2!$B$19:$C$24,2,FALSE),'Procurement Dataset'!E663)</f>
        <v>45290</v>
      </c>
      <c r="E663" s="1">
        <v>45290</v>
      </c>
      <c r="F663" t="s">
        <v>804</v>
      </c>
      <c r="G663" t="s">
        <v>796</v>
      </c>
      <c r="H663" s="5">
        <v>1979</v>
      </c>
      <c r="I663" s="3">
        <v>40.880000000000003</v>
      </c>
      <c r="J663" s="3">
        <v>39.46</v>
      </c>
      <c r="K663" s="5">
        <f t="shared" si="71"/>
        <v>221</v>
      </c>
      <c r="L663">
        <v>221</v>
      </c>
      <c r="M663" t="s">
        <v>793</v>
      </c>
      <c r="N663">
        <f t="shared" si="70"/>
        <v>18</v>
      </c>
      <c r="O663" t="str">
        <f t="shared" si="72"/>
        <v>Valid</v>
      </c>
      <c r="P663" s="1" t="str">
        <f>IF(N663&gt;=(VLOOKUP(B663,Lembar2!$B$19:$C$24,2,FALSE)+7),"Delayed","Ontime")</f>
        <v>Ontime</v>
      </c>
      <c r="Q663" s="3">
        <f t="shared" si="73"/>
        <v>80901.52</v>
      </c>
      <c r="R663" s="3">
        <f t="shared" si="74"/>
        <v>78091.34</v>
      </c>
      <c r="S663" s="3">
        <f t="shared" si="75"/>
        <v>2810.1800000000076</v>
      </c>
      <c r="T663">
        <f t="shared" si="76"/>
        <v>1</v>
      </c>
    </row>
    <row r="664" spans="1:20" x14ac:dyDescent="0.25">
      <c r="A664" t="s">
        <v>1467</v>
      </c>
      <c r="B664" t="s">
        <v>798</v>
      </c>
      <c r="C664" s="1">
        <v>44718</v>
      </c>
      <c r="D664" s="1">
        <f>IF(E664="",C664+VLOOKUP(B664,Lembar2!$B$19:$C$24,2,FALSE),'Procurement Dataset'!E664)</f>
        <v>44731</v>
      </c>
      <c r="E664" s="1">
        <v>44731</v>
      </c>
      <c r="F664" t="s">
        <v>791</v>
      </c>
      <c r="G664" t="s">
        <v>796</v>
      </c>
      <c r="H664" s="5">
        <v>811</v>
      </c>
      <c r="I664" s="3">
        <v>31.8</v>
      </c>
      <c r="J664" s="3">
        <v>30.33</v>
      </c>
      <c r="K664" s="5">
        <f t="shared" si="71"/>
        <v>58</v>
      </c>
      <c r="L664">
        <v>58</v>
      </c>
      <c r="M664" t="s">
        <v>793</v>
      </c>
      <c r="N664">
        <f t="shared" si="70"/>
        <v>13</v>
      </c>
      <c r="O664" t="str">
        <f t="shared" si="72"/>
        <v>Valid</v>
      </c>
      <c r="P664" s="1" t="str">
        <f>IF(N664&gt;=(VLOOKUP(B664,Lembar2!$B$19:$C$24,2,FALSE)+7),"Delayed","Ontime")</f>
        <v>Ontime</v>
      </c>
      <c r="Q664" s="3">
        <f t="shared" si="73"/>
        <v>25789.8</v>
      </c>
      <c r="R664" s="3">
        <f t="shared" si="74"/>
        <v>24597.629999999997</v>
      </c>
      <c r="S664" s="3">
        <f t="shared" si="75"/>
        <v>1192.1700000000019</v>
      </c>
      <c r="T664">
        <f t="shared" si="76"/>
        <v>1</v>
      </c>
    </row>
    <row r="665" spans="1:20" x14ac:dyDescent="0.25">
      <c r="A665" t="s">
        <v>1468</v>
      </c>
      <c r="B665" t="s">
        <v>790</v>
      </c>
      <c r="C665" s="1">
        <v>45285</v>
      </c>
      <c r="D665" s="1">
        <f>IF(E665="",C665+VLOOKUP(B665,Lembar2!$B$19:$C$24,2,FALSE),'Procurement Dataset'!E665)</f>
        <v>45303</v>
      </c>
      <c r="E665" s="1">
        <v>45303</v>
      </c>
      <c r="F665" t="s">
        <v>817</v>
      </c>
      <c r="G665" t="s">
        <v>796</v>
      </c>
      <c r="H665" s="5">
        <v>1732</v>
      </c>
      <c r="I665" s="3">
        <v>15.37</v>
      </c>
      <c r="J665" s="3">
        <v>14.7</v>
      </c>
      <c r="K665" s="5">
        <f t="shared" si="71"/>
        <v>38</v>
      </c>
      <c r="L665">
        <v>38</v>
      </c>
      <c r="M665" t="s">
        <v>793</v>
      </c>
      <c r="N665">
        <f t="shared" si="70"/>
        <v>18</v>
      </c>
      <c r="O665" t="str">
        <f t="shared" si="72"/>
        <v>Valid</v>
      </c>
      <c r="P665" s="1" t="str">
        <f>IF(N665&gt;=(VLOOKUP(B665,Lembar2!$B$19:$C$24,2,FALSE)+7),"Delayed","Ontime")</f>
        <v>Delayed</v>
      </c>
      <c r="Q665" s="3">
        <f t="shared" si="73"/>
        <v>26620.84</v>
      </c>
      <c r="R665" s="3">
        <f t="shared" si="74"/>
        <v>25460.399999999998</v>
      </c>
      <c r="S665" s="3">
        <f t="shared" si="75"/>
        <v>1160.4400000000023</v>
      </c>
      <c r="T665">
        <f t="shared" si="76"/>
        <v>0</v>
      </c>
    </row>
    <row r="666" spans="1:20" x14ac:dyDescent="0.25">
      <c r="A666" t="s">
        <v>1469</v>
      </c>
      <c r="B666" t="s">
        <v>801</v>
      </c>
      <c r="C666" s="1">
        <v>44781</v>
      </c>
      <c r="D666" s="1">
        <f>IF(E666="",C666+VLOOKUP(B666,Lembar2!$B$19:$C$24,2,FALSE),'Procurement Dataset'!E666)</f>
        <v>44801</v>
      </c>
      <c r="E666" s="1">
        <v>44801</v>
      </c>
      <c r="F666" t="s">
        <v>802</v>
      </c>
      <c r="G666" t="s">
        <v>796</v>
      </c>
      <c r="H666" s="5">
        <v>491</v>
      </c>
      <c r="I666" s="3">
        <v>12.01</v>
      </c>
      <c r="J666" s="3">
        <v>11.67</v>
      </c>
      <c r="K666" s="5">
        <f t="shared" si="71"/>
        <v>47</v>
      </c>
      <c r="L666">
        <v>47</v>
      </c>
      <c r="M666" t="s">
        <v>793</v>
      </c>
      <c r="N666">
        <f t="shared" si="70"/>
        <v>20</v>
      </c>
      <c r="O666" t="str">
        <f t="shared" si="72"/>
        <v>Valid</v>
      </c>
      <c r="P666" s="1" t="str">
        <f>IF(N666&gt;=(VLOOKUP(B666,Lembar2!$B$19:$C$24,2,FALSE)+7),"Delayed","Ontime")</f>
        <v>Delayed</v>
      </c>
      <c r="Q666" s="3">
        <f t="shared" si="73"/>
        <v>5896.91</v>
      </c>
      <c r="R666" s="3">
        <f t="shared" si="74"/>
        <v>5729.97</v>
      </c>
      <c r="S666" s="3">
        <f t="shared" si="75"/>
        <v>166.9399999999996</v>
      </c>
      <c r="T666">
        <f t="shared" si="76"/>
        <v>0</v>
      </c>
    </row>
    <row r="667" spans="1:20" x14ac:dyDescent="0.25">
      <c r="A667" t="s">
        <v>1470</v>
      </c>
      <c r="B667" t="s">
        <v>798</v>
      </c>
      <c r="C667" s="1">
        <v>44627</v>
      </c>
      <c r="D667" s="1">
        <f>IF(E667="",C667+VLOOKUP(B667,Lembar2!$B$19:$C$24,2,FALSE),'Procurement Dataset'!E667)</f>
        <v>44631</v>
      </c>
      <c r="E667" s="1">
        <v>44631</v>
      </c>
      <c r="F667" t="s">
        <v>802</v>
      </c>
      <c r="G667" t="s">
        <v>792</v>
      </c>
      <c r="H667" s="5">
        <v>1681</v>
      </c>
      <c r="I667" s="3">
        <v>99.88</v>
      </c>
      <c r="J667" s="3">
        <v>96.38</v>
      </c>
      <c r="K667" s="5">
        <f t="shared" si="71"/>
        <v>90</v>
      </c>
      <c r="L667">
        <v>90</v>
      </c>
      <c r="M667" t="s">
        <v>793</v>
      </c>
      <c r="N667">
        <f t="shared" si="70"/>
        <v>4</v>
      </c>
      <c r="O667" t="str">
        <f t="shared" si="72"/>
        <v>Valid</v>
      </c>
      <c r="P667" s="1" t="str">
        <f>IF(N667&gt;=(VLOOKUP(B667,Lembar2!$B$19:$C$24,2,FALSE)+7),"Delayed","Ontime")</f>
        <v>Ontime</v>
      </c>
      <c r="Q667" s="3">
        <f t="shared" si="73"/>
        <v>167898.28</v>
      </c>
      <c r="R667" s="3">
        <f t="shared" si="74"/>
        <v>162014.78</v>
      </c>
      <c r="S667" s="3">
        <f t="shared" si="75"/>
        <v>5883.5</v>
      </c>
      <c r="T667">
        <f t="shared" si="76"/>
        <v>1</v>
      </c>
    </row>
    <row r="668" spans="1:20" x14ac:dyDescent="0.25">
      <c r="A668" t="s">
        <v>1471</v>
      </c>
      <c r="B668" t="s">
        <v>790</v>
      </c>
      <c r="C668" s="1">
        <v>44986</v>
      </c>
      <c r="D668" s="1">
        <f>IF(E668="",C668+VLOOKUP(B668,Lembar2!$B$19:$C$24,2,FALSE),'Procurement Dataset'!E668)</f>
        <v>44990</v>
      </c>
      <c r="E668" s="1">
        <v>44990</v>
      </c>
      <c r="F668" t="s">
        <v>804</v>
      </c>
      <c r="G668" t="s">
        <v>811</v>
      </c>
      <c r="H668" s="5">
        <v>818</v>
      </c>
      <c r="I668" s="3">
        <v>51.89</v>
      </c>
      <c r="J668" s="3">
        <v>47.85</v>
      </c>
      <c r="K668" s="5">
        <f t="shared" si="71"/>
        <v>12</v>
      </c>
      <c r="L668">
        <v>12</v>
      </c>
      <c r="M668" t="s">
        <v>793</v>
      </c>
      <c r="N668">
        <f t="shared" si="70"/>
        <v>4</v>
      </c>
      <c r="O668" t="str">
        <f t="shared" si="72"/>
        <v>Valid</v>
      </c>
      <c r="P668" s="1" t="str">
        <f>IF(N668&gt;=(VLOOKUP(B668,Lembar2!$B$19:$C$24,2,FALSE)+7),"Delayed","Ontime")</f>
        <v>Ontime</v>
      </c>
      <c r="Q668" s="3">
        <f t="shared" si="73"/>
        <v>42446.020000000004</v>
      </c>
      <c r="R668" s="3">
        <f t="shared" si="74"/>
        <v>39141.300000000003</v>
      </c>
      <c r="S668" s="3">
        <f t="shared" si="75"/>
        <v>3304.7200000000012</v>
      </c>
      <c r="T668">
        <f t="shared" si="76"/>
        <v>1</v>
      </c>
    </row>
    <row r="669" spans="1:20" x14ac:dyDescent="0.25">
      <c r="A669" t="s">
        <v>1472</v>
      </c>
      <c r="B669" t="s">
        <v>801</v>
      </c>
      <c r="C669" s="1">
        <v>44979</v>
      </c>
      <c r="D669" s="1">
        <f>IF(E669="",C669+VLOOKUP(B669,Lembar2!$B$19:$C$24,2,FALSE),'Procurement Dataset'!E669)</f>
        <v>44990</v>
      </c>
      <c r="E669" s="1">
        <v>44990</v>
      </c>
      <c r="F669" t="s">
        <v>791</v>
      </c>
      <c r="G669" t="s">
        <v>796</v>
      </c>
      <c r="H669" s="5">
        <v>1065</v>
      </c>
      <c r="I669" s="3">
        <v>47.49</v>
      </c>
      <c r="J669" s="3">
        <v>41.42</v>
      </c>
      <c r="K669" s="5">
        <f t="shared" si="71"/>
        <v>113</v>
      </c>
      <c r="L669">
        <v>113</v>
      </c>
      <c r="M669" t="s">
        <v>793</v>
      </c>
      <c r="N669">
        <f t="shared" si="70"/>
        <v>11</v>
      </c>
      <c r="O669" t="str">
        <f t="shared" si="72"/>
        <v>Valid</v>
      </c>
      <c r="P669" s="1" t="str">
        <f>IF(N669&gt;=(VLOOKUP(B669,Lembar2!$B$19:$C$24,2,FALSE)+7),"Delayed","Ontime")</f>
        <v>Ontime</v>
      </c>
      <c r="Q669" s="3">
        <f t="shared" si="73"/>
        <v>50576.85</v>
      </c>
      <c r="R669" s="3">
        <f t="shared" si="74"/>
        <v>44112.3</v>
      </c>
      <c r="S669" s="3">
        <f t="shared" si="75"/>
        <v>6464.5499999999956</v>
      </c>
      <c r="T669">
        <f t="shared" si="76"/>
        <v>1</v>
      </c>
    </row>
    <row r="670" spans="1:20" x14ac:dyDescent="0.25">
      <c r="A670" t="s">
        <v>1473</v>
      </c>
      <c r="B670" t="s">
        <v>798</v>
      </c>
      <c r="C670" s="1">
        <v>44900</v>
      </c>
      <c r="D670" s="1">
        <f>IF(E670="",C670+VLOOKUP(B670,Lembar2!$B$19:$C$24,2,FALSE),'Procurement Dataset'!E670)</f>
        <v>44912</v>
      </c>
      <c r="E670" s="1">
        <v>44912</v>
      </c>
      <c r="F670" t="s">
        <v>802</v>
      </c>
      <c r="G670" t="s">
        <v>796</v>
      </c>
      <c r="H670" s="5">
        <v>1398</v>
      </c>
      <c r="I670" s="3">
        <v>75.08</v>
      </c>
      <c r="J670" s="3">
        <v>67.09</v>
      </c>
      <c r="K670" s="5">
        <f t="shared" si="71"/>
        <v>57</v>
      </c>
      <c r="L670">
        <v>57</v>
      </c>
      <c r="M670" t="s">
        <v>793</v>
      </c>
      <c r="N670">
        <f t="shared" si="70"/>
        <v>12</v>
      </c>
      <c r="O670" t="str">
        <f t="shared" si="72"/>
        <v>Valid</v>
      </c>
      <c r="P670" s="1" t="str">
        <f>IF(N670&gt;=(VLOOKUP(B670,Lembar2!$B$19:$C$24,2,FALSE)+7),"Delayed","Ontime")</f>
        <v>Ontime</v>
      </c>
      <c r="Q670" s="3">
        <f t="shared" si="73"/>
        <v>104961.84</v>
      </c>
      <c r="R670" s="3">
        <f t="shared" si="74"/>
        <v>93791.82</v>
      </c>
      <c r="S670" s="3">
        <f t="shared" si="75"/>
        <v>11170.01999999999</v>
      </c>
      <c r="T670">
        <f t="shared" si="76"/>
        <v>1</v>
      </c>
    </row>
    <row r="671" spans="1:20" x14ac:dyDescent="0.25">
      <c r="A671" t="s">
        <v>1474</v>
      </c>
      <c r="B671" t="s">
        <v>801</v>
      </c>
      <c r="C671" s="1">
        <v>45117</v>
      </c>
      <c r="D671" s="1">
        <f>IF(E671="",C671+VLOOKUP(B671,Lembar2!$B$19:$C$24,2,FALSE),'Procurement Dataset'!E671)</f>
        <v>45124</v>
      </c>
      <c r="E671" s="1">
        <v>45124</v>
      </c>
      <c r="F671" t="s">
        <v>802</v>
      </c>
      <c r="G671" t="s">
        <v>796</v>
      </c>
      <c r="H671" s="5">
        <v>565</v>
      </c>
      <c r="I671" s="3">
        <v>32.31</v>
      </c>
      <c r="J671" s="3">
        <v>29.76</v>
      </c>
      <c r="K671" s="5">
        <f t="shared" si="71"/>
        <v>60</v>
      </c>
      <c r="L671">
        <v>60</v>
      </c>
      <c r="M671" t="s">
        <v>793</v>
      </c>
      <c r="N671">
        <f t="shared" si="70"/>
        <v>7</v>
      </c>
      <c r="O671" t="str">
        <f t="shared" si="72"/>
        <v>Valid</v>
      </c>
      <c r="P671" s="1" t="str">
        <f>IF(N671&gt;=(VLOOKUP(B671,Lembar2!$B$19:$C$24,2,FALSE)+7),"Delayed","Ontime")</f>
        <v>Ontime</v>
      </c>
      <c r="Q671" s="3">
        <f t="shared" si="73"/>
        <v>18255.150000000001</v>
      </c>
      <c r="R671" s="3">
        <f t="shared" si="74"/>
        <v>16814.400000000001</v>
      </c>
      <c r="S671" s="3">
        <f t="shared" si="75"/>
        <v>1440.75</v>
      </c>
      <c r="T671">
        <f t="shared" si="76"/>
        <v>1</v>
      </c>
    </row>
    <row r="672" spans="1:20" x14ac:dyDescent="0.25">
      <c r="A672" t="s">
        <v>1475</v>
      </c>
      <c r="B672" t="s">
        <v>807</v>
      </c>
      <c r="C672" s="1">
        <v>45039</v>
      </c>
      <c r="D672" s="1">
        <f>IF(E672="",C672+VLOOKUP(B672,Lembar2!$B$19:$C$24,2,FALSE),'Procurement Dataset'!E672)</f>
        <v>45052</v>
      </c>
      <c r="E672" s="1">
        <v>45052</v>
      </c>
      <c r="F672" t="s">
        <v>802</v>
      </c>
      <c r="G672" t="s">
        <v>813</v>
      </c>
      <c r="H672" s="5">
        <v>1089</v>
      </c>
      <c r="I672" s="3">
        <v>102.66</v>
      </c>
      <c r="J672" s="3">
        <v>89.21</v>
      </c>
      <c r="K672" s="5">
        <f t="shared" si="71"/>
        <v>33</v>
      </c>
      <c r="L672">
        <v>33</v>
      </c>
      <c r="M672" t="s">
        <v>793</v>
      </c>
      <c r="N672">
        <f t="shared" si="70"/>
        <v>13</v>
      </c>
      <c r="O672" t="str">
        <f t="shared" si="72"/>
        <v>Valid</v>
      </c>
      <c r="P672" s="1" t="str">
        <f>IF(N672&gt;=(VLOOKUP(B672,Lembar2!$B$19:$C$24,2,FALSE)+7),"Delayed","Ontime")</f>
        <v>Ontime</v>
      </c>
      <c r="Q672" s="3">
        <f t="shared" si="73"/>
        <v>111796.73999999999</v>
      </c>
      <c r="R672" s="3">
        <f t="shared" si="74"/>
        <v>97149.689999999988</v>
      </c>
      <c r="S672" s="3">
        <f t="shared" si="75"/>
        <v>14647.050000000003</v>
      </c>
      <c r="T672">
        <f t="shared" si="76"/>
        <v>1</v>
      </c>
    </row>
    <row r="673" spans="1:20" x14ac:dyDescent="0.25">
      <c r="A673" t="s">
        <v>1476</v>
      </c>
      <c r="B673" t="s">
        <v>795</v>
      </c>
      <c r="C673" s="1">
        <v>44987</v>
      </c>
      <c r="D673" s="1">
        <f>IF(E673="",C673+VLOOKUP(B673,Lembar2!$B$19:$C$24,2,FALSE),'Procurement Dataset'!E673)</f>
        <v>44989</v>
      </c>
      <c r="E673" s="1">
        <v>44989</v>
      </c>
      <c r="F673" t="s">
        <v>817</v>
      </c>
      <c r="G673" t="s">
        <v>796</v>
      </c>
      <c r="H673" s="5">
        <v>841</v>
      </c>
      <c r="I673" s="3">
        <v>86.43</v>
      </c>
      <c r="J673" s="3">
        <v>83.77</v>
      </c>
      <c r="K673" s="5">
        <f t="shared" si="71"/>
        <v>125</v>
      </c>
      <c r="L673">
        <v>125</v>
      </c>
      <c r="M673" t="s">
        <v>805</v>
      </c>
      <c r="N673">
        <f t="shared" si="70"/>
        <v>2</v>
      </c>
      <c r="O673" t="str">
        <f t="shared" si="72"/>
        <v>Valid</v>
      </c>
      <c r="P673" s="1" t="str">
        <f>IF(N673&gt;=(VLOOKUP(B673,Lembar2!$B$19:$C$24,2,FALSE)+7),"Delayed","Ontime")</f>
        <v>Ontime</v>
      </c>
      <c r="Q673" s="3">
        <f t="shared" si="73"/>
        <v>72687.63</v>
      </c>
      <c r="R673" s="3">
        <f t="shared" si="74"/>
        <v>70450.569999999992</v>
      </c>
      <c r="S673" s="3">
        <f t="shared" si="75"/>
        <v>2237.0600000000122</v>
      </c>
      <c r="T673">
        <f t="shared" si="76"/>
        <v>1</v>
      </c>
    </row>
    <row r="674" spans="1:20" x14ac:dyDescent="0.25">
      <c r="A674" t="s">
        <v>1477</v>
      </c>
      <c r="B674" t="s">
        <v>795</v>
      </c>
      <c r="C674" s="1">
        <v>44625</v>
      </c>
      <c r="D674" s="1">
        <f>IF(E674="",C674+VLOOKUP(B674,Lembar2!$B$19:$C$24,2,FALSE),'Procurement Dataset'!E674)</f>
        <v>44636</v>
      </c>
      <c r="E674" s="1">
        <v>44636</v>
      </c>
      <c r="F674" t="s">
        <v>817</v>
      </c>
      <c r="G674" t="s">
        <v>796</v>
      </c>
      <c r="H674" s="5">
        <v>385</v>
      </c>
      <c r="I674" s="3">
        <v>18.23</v>
      </c>
      <c r="J674" s="3">
        <v>17.739999999999998</v>
      </c>
      <c r="K674" s="5">
        <f t="shared" si="71"/>
        <v>0</v>
      </c>
      <c r="M674" t="s">
        <v>793</v>
      </c>
      <c r="N674">
        <f t="shared" si="70"/>
        <v>11</v>
      </c>
      <c r="O674" t="str">
        <f t="shared" si="72"/>
        <v>Valid</v>
      </c>
      <c r="P674" s="1" t="str">
        <f>IF(N674&gt;=(VLOOKUP(B674,Lembar2!$B$19:$C$24,2,FALSE)+7),"Delayed","Ontime")</f>
        <v>Ontime</v>
      </c>
      <c r="Q674" s="3">
        <f t="shared" si="73"/>
        <v>7018.55</v>
      </c>
      <c r="R674" s="3">
        <f t="shared" si="74"/>
        <v>6829.9</v>
      </c>
      <c r="S674" s="3">
        <f t="shared" si="75"/>
        <v>188.65000000000055</v>
      </c>
      <c r="T674">
        <f t="shared" si="76"/>
        <v>1</v>
      </c>
    </row>
    <row r="675" spans="1:20" x14ac:dyDescent="0.25">
      <c r="A675" t="s">
        <v>1478</v>
      </c>
      <c r="B675" t="s">
        <v>807</v>
      </c>
      <c r="C675" s="1">
        <v>44773</v>
      </c>
      <c r="D675" s="1">
        <f>IF(E675="",C675+VLOOKUP(B675,Lembar2!$B$19:$C$24,2,FALSE),'Procurement Dataset'!E675)</f>
        <v>44790</v>
      </c>
      <c r="E675" s="1">
        <v>44790</v>
      </c>
      <c r="F675" t="s">
        <v>791</v>
      </c>
      <c r="G675" t="s">
        <v>796</v>
      </c>
      <c r="H675" s="5">
        <v>1832</v>
      </c>
      <c r="I675" s="3">
        <v>49.01</v>
      </c>
      <c r="J675" s="3">
        <v>41.86</v>
      </c>
      <c r="K675" s="5">
        <f t="shared" si="71"/>
        <v>52</v>
      </c>
      <c r="L675">
        <v>52</v>
      </c>
      <c r="M675" t="s">
        <v>793</v>
      </c>
      <c r="N675">
        <f t="shared" si="70"/>
        <v>17</v>
      </c>
      <c r="O675" t="str">
        <f t="shared" si="72"/>
        <v>Valid</v>
      </c>
      <c r="P675" s="1" t="str">
        <f>IF(N675&gt;=(VLOOKUP(B675,Lembar2!$B$19:$C$24,2,FALSE)+7),"Delayed","Ontime")</f>
        <v>Ontime</v>
      </c>
      <c r="Q675" s="3">
        <f t="shared" si="73"/>
        <v>89786.319999999992</v>
      </c>
      <c r="R675" s="3">
        <f t="shared" si="74"/>
        <v>76687.520000000004</v>
      </c>
      <c r="S675" s="3">
        <f t="shared" si="75"/>
        <v>13098.799999999988</v>
      </c>
      <c r="T675">
        <f t="shared" si="76"/>
        <v>1</v>
      </c>
    </row>
    <row r="676" spans="1:20" x14ac:dyDescent="0.25">
      <c r="A676" t="s">
        <v>1479</v>
      </c>
      <c r="B676" t="s">
        <v>801</v>
      </c>
      <c r="C676" s="1">
        <v>44992</v>
      </c>
      <c r="D676" s="1">
        <f>IF(E676="",C676+VLOOKUP(B676,Lembar2!$B$19:$C$24,2,FALSE),'Procurement Dataset'!E676)</f>
        <v>45012</v>
      </c>
      <c r="E676" s="1">
        <v>45012</v>
      </c>
      <c r="F676" t="s">
        <v>804</v>
      </c>
      <c r="G676" t="s">
        <v>796</v>
      </c>
      <c r="H676" s="5">
        <v>307</v>
      </c>
      <c r="I676" s="3">
        <v>95.36</v>
      </c>
      <c r="J676" s="3">
        <v>83.63</v>
      </c>
      <c r="K676" s="5">
        <f t="shared" si="71"/>
        <v>29</v>
      </c>
      <c r="L676">
        <v>29</v>
      </c>
      <c r="M676" t="s">
        <v>793</v>
      </c>
      <c r="N676">
        <f t="shared" si="70"/>
        <v>20</v>
      </c>
      <c r="O676" t="str">
        <f t="shared" si="72"/>
        <v>Valid</v>
      </c>
      <c r="P676" s="1" t="str">
        <f>IF(N676&gt;=(VLOOKUP(B676,Lembar2!$B$19:$C$24,2,FALSE)+7),"Delayed","Ontime")</f>
        <v>Delayed</v>
      </c>
      <c r="Q676" s="3">
        <f t="shared" si="73"/>
        <v>29275.52</v>
      </c>
      <c r="R676" s="3">
        <f t="shared" si="74"/>
        <v>25674.41</v>
      </c>
      <c r="S676" s="3">
        <f t="shared" si="75"/>
        <v>3601.1100000000006</v>
      </c>
      <c r="T676">
        <f t="shared" si="76"/>
        <v>0</v>
      </c>
    </row>
    <row r="677" spans="1:20" x14ac:dyDescent="0.25">
      <c r="A677" t="s">
        <v>1480</v>
      </c>
      <c r="B677" t="s">
        <v>807</v>
      </c>
      <c r="C677" s="1">
        <v>44960</v>
      </c>
      <c r="D677" s="1">
        <f>IF(E677="",C677+VLOOKUP(B677,Lembar2!$B$19:$C$24,2,FALSE),'Procurement Dataset'!E677)</f>
        <v>44965</v>
      </c>
      <c r="E677" s="1">
        <v>44965</v>
      </c>
      <c r="F677" t="s">
        <v>791</v>
      </c>
      <c r="G677" t="s">
        <v>796</v>
      </c>
      <c r="H677" s="5">
        <v>546</v>
      </c>
      <c r="I677" s="3">
        <v>101.2</v>
      </c>
      <c r="J677" s="3">
        <v>97.82</v>
      </c>
      <c r="K677" s="5">
        <f t="shared" si="71"/>
        <v>21</v>
      </c>
      <c r="L677">
        <v>21</v>
      </c>
      <c r="M677" t="s">
        <v>793</v>
      </c>
      <c r="N677">
        <f t="shared" si="70"/>
        <v>5</v>
      </c>
      <c r="O677" t="str">
        <f t="shared" si="72"/>
        <v>Valid</v>
      </c>
      <c r="P677" s="1" t="str">
        <f>IF(N677&gt;=(VLOOKUP(B677,Lembar2!$B$19:$C$24,2,FALSE)+7),"Delayed","Ontime")</f>
        <v>Ontime</v>
      </c>
      <c r="Q677" s="3">
        <f t="shared" si="73"/>
        <v>55255.200000000004</v>
      </c>
      <c r="R677" s="3">
        <f t="shared" si="74"/>
        <v>53409.719999999994</v>
      </c>
      <c r="S677" s="3">
        <f t="shared" si="75"/>
        <v>1845.4800000000105</v>
      </c>
      <c r="T677">
        <f t="shared" si="76"/>
        <v>1</v>
      </c>
    </row>
    <row r="678" spans="1:20" x14ac:dyDescent="0.25">
      <c r="A678" t="s">
        <v>1481</v>
      </c>
      <c r="B678" t="s">
        <v>795</v>
      </c>
      <c r="C678" s="1">
        <v>45160</v>
      </c>
      <c r="D678" s="1">
        <f>IF(E678="",C678+VLOOKUP(B678,Lembar2!$B$19:$C$24,2,FALSE),'Procurement Dataset'!E678)</f>
        <v>45180</v>
      </c>
      <c r="E678" s="1">
        <v>45180</v>
      </c>
      <c r="F678" t="s">
        <v>804</v>
      </c>
      <c r="G678" t="s">
        <v>796</v>
      </c>
      <c r="H678" s="5">
        <v>945</v>
      </c>
      <c r="I678" s="3">
        <v>57.01</v>
      </c>
      <c r="J678" s="3">
        <v>55.14</v>
      </c>
      <c r="K678" s="5">
        <f t="shared" si="71"/>
        <v>147</v>
      </c>
      <c r="L678">
        <v>147</v>
      </c>
      <c r="M678" t="s">
        <v>805</v>
      </c>
      <c r="N678">
        <f t="shared" si="70"/>
        <v>20</v>
      </c>
      <c r="O678" t="str">
        <f t="shared" si="72"/>
        <v>Valid</v>
      </c>
      <c r="P678" s="1" t="str">
        <f>IF(N678&gt;=(VLOOKUP(B678,Lembar2!$B$19:$C$24,2,FALSE)+7),"Delayed","Ontime")</f>
        <v>Delayed</v>
      </c>
      <c r="Q678" s="3">
        <f t="shared" si="73"/>
        <v>53874.45</v>
      </c>
      <c r="R678" s="3">
        <f t="shared" si="74"/>
        <v>52107.3</v>
      </c>
      <c r="S678" s="3">
        <f t="shared" si="75"/>
        <v>1767.1499999999942</v>
      </c>
      <c r="T678">
        <f t="shared" si="76"/>
        <v>0</v>
      </c>
    </row>
    <row r="679" spans="1:20" x14ac:dyDescent="0.25">
      <c r="A679" t="s">
        <v>1482</v>
      </c>
      <c r="B679" t="s">
        <v>795</v>
      </c>
      <c r="C679" s="1">
        <v>45274</v>
      </c>
      <c r="D679" s="1">
        <f>IF(E679="",C679+VLOOKUP(B679,Lembar2!$B$19:$C$24,2,FALSE),'Procurement Dataset'!E679)</f>
        <v>45287</v>
      </c>
      <c r="E679" s="1">
        <v>45287</v>
      </c>
      <c r="F679" t="s">
        <v>799</v>
      </c>
      <c r="G679" t="s">
        <v>813</v>
      </c>
      <c r="H679" s="5">
        <v>209</v>
      </c>
      <c r="I679" s="3">
        <v>72.709999999999994</v>
      </c>
      <c r="J679" s="3">
        <v>64.34</v>
      </c>
      <c r="K679" s="5">
        <f t="shared" si="71"/>
        <v>39</v>
      </c>
      <c r="L679">
        <v>39</v>
      </c>
      <c r="M679" t="s">
        <v>793</v>
      </c>
      <c r="N679">
        <f t="shared" si="70"/>
        <v>13</v>
      </c>
      <c r="O679" t="str">
        <f t="shared" si="72"/>
        <v>Valid</v>
      </c>
      <c r="P679" s="1" t="str">
        <f>IF(N679&gt;=(VLOOKUP(B679,Lembar2!$B$19:$C$24,2,FALSE)+7),"Delayed","Ontime")</f>
        <v>Ontime</v>
      </c>
      <c r="Q679" s="3">
        <f t="shared" si="73"/>
        <v>15196.39</v>
      </c>
      <c r="R679" s="3">
        <f t="shared" si="74"/>
        <v>13447.060000000001</v>
      </c>
      <c r="S679" s="3">
        <f t="shared" si="75"/>
        <v>1749.3299999999981</v>
      </c>
      <c r="T679">
        <f t="shared" si="76"/>
        <v>1</v>
      </c>
    </row>
    <row r="680" spans="1:20" x14ac:dyDescent="0.25">
      <c r="A680" t="s">
        <v>1483</v>
      </c>
      <c r="B680" t="s">
        <v>801</v>
      </c>
      <c r="C680" s="1">
        <v>44582</v>
      </c>
      <c r="D680" s="1">
        <f>IF(E680="",C680+VLOOKUP(B680,Lembar2!$B$19:$C$24,2,FALSE),'Procurement Dataset'!E680)</f>
        <v>44594</v>
      </c>
      <c r="F680" t="s">
        <v>802</v>
      </c>
      <c r="G680" t="s">
        <v>796</v>
      </c>
      <c r="H680" s="5">
        <v>1548</v>
      </c>
      <c r="I680" s="3">
        <v>25.03</v>
      </c>
      <c r="J680" s="3">
        <v>22.87</v>
      </c>
      <c r="K680" s="5">
        <f t="shared" si="71"/>
        <v>0</v>
      </c>
      <c r="M680" t="s">
        <v>793</v>
      </c>
      <c r="N680" t="str">
        <f t="shared" si="70"/>
        <v/>
      </c>
      <c r="O680" t="str">
        <f t="shared" si="72"/>
        <v>Valid</v>
      </c>
      <c r="P680" s="1" t="str">
        <f>IF(N680&gt;=(VLOOKUP(B680,Lembar2!$B$19:$C$24,2,FALSE)+7),"Delayed","Ontime")</f>
        <v>Delayed</v>
      </c>
      <c r="Q680" s="3">
        <f t="shared" si="73"/>
        <v>38746.44</v>
      </c>
      <c r="R680" s="3">
        <f t="shared" si="74"/>
        <v>35402.76</v>
      </c>
      <c r="S680" s="3">
        <f t="shared" si="75"/>
        <v>3343.6800000000003</v>
      </c>
      <c r="T680">
        <f t="shared" si="76"/>
        <v>0</v>
      </c>
    </row>
    <row r="681" spans="1:20" x14ac:dyDescent="0.25">
      <c r="A681" t="s">
        <v>1484</v>
      </c>
      <c r="B681" t="s">
        <v>795</v>
      </c>
      <c r="C681" s="1">
        <v>45151</v>
      </c>
      <c r="D681" s="1">
        <f>IF(E681="",C681+VLOOKUP(B681,Lembar2!$B$19:$C$24,2,FALSE),'Procurement Dataset'!E681)</f>
        <v>45161</v>
      </c>
      <c r="E681" s="1">
        <v>45161</v>
      </c>
      <c r="F681" t="s">
        <v>804</v>
      </c>
      <c r="G681" t="s">
        <v>796</v>
      </c>
      <c r="H681" s="5">
        <v>901</v>
      </c>
      <c r="I681" s="3">
        <v>108.63</v>
      </c>
      <c r="J681" s="3">
        <v>106.3</v>
      </c>
      <c r="K681" s="5">
        <f t="shared" si="71"/>
        <v>141</v>
      </c>
      <c r="L681">
        <v>141</v>
      </c>
      <c r="M681" t="s">
        <v>793</v>
      </c>
      <c r="N681">
        <f t="shared" si="70"/>
        <v>10</v>
      </c>
      <c r="O681" t="str">
        <f t="shared" si="72"/>
        <v>Valid</v>
      </c>
      <c r="P681" s="1" t="str">
        <f>IF(N681&gt;=(VLOOKUP(B681,Lembar2!$B$19:$C$24,2,FALSE)+7),"Delayed","Ontime")</f>
        <v>Ontime</v>
      </c>
      <c r="Q681" s="3">
        <f t="shared" si="73"/>
        <v>97875.62999999999</v>
      </c>
      <c r="R681" s="3">
        <f t="shared" si="74"/>
        <v>95776.3</v>
      </c>
      <c r="S681" s="3">
        <f t="shared" si="75"/>
        <v>2099.3299999999872</v>
      </c>
      <c r="T681">
        <f t="shared" si="76"/>
        <v>1</v>
      </c>
    </row>
    <row r="682" spans="1:20" x14ac:dyDescent="0.25">
      <c r="A682" t="s">
        <v>1485</v>
      </c>
      <c r="B682" t="s">
        <v>807</v>
      </c>
      <c r="C682" s="1">
        <v>44951</v>
      </c>
      <c r="D682" s="1">
        <f>IF(E682="",C682+VLOOKUP(B682,Lembar2!$B$19:$C$24,2,FALSE),'Procurement Dataset'!E682)</f>
        <v>44968</v>
      </c>
      <c r="E682" s="1">
        <v>44968</v>
      </c>
      <c r="F682" t="s">
        <v>802</v>
      </c>
      <c r="G682" t="s">
        <v>796</v>
      </c>
      <c r="H682" s="5">
        <v>1737</v>
      </c>
      <c r="I682" s="3">
        <v>32.700000000000003</v>
      </c>
      <c r="J682" s="3">
        <v>31.02</v>
      </c>
      <c r="K682" s="5">
        <f t="shared" si="71"/>
        <v>48</v>
      </c>
      <c r="L682">
        <v>48</v>
      </c>
      <c r="M682" t="s">
        <v>793</v>
      </c>
      <c r="N682">
        <f t="shared" si="70"/>
        <v>17</v>
      </c>
      <c r="O682" t="str">
        <f t="shared" si="72"/>
        <v>Valid</v>
      </c>
      <c r="P682" s="1" t="str">
        <f>IF(N682&gt;=(VLOOKUP(B682,Lembar2!$B$19:$C$24,2,FALSE)+7),"Delayed","Ontime")</f>
        <v>Ontime</v>
      </c>
      <c r="Q682" s="3">
        <f t="shared" si="73"/>
        <v>56799.9</v>
      </c>
      <c r="R682" s="3">
        <f t="shared" si="74"/>
        <v>53881.74</v>
      </c>
      <c r="S682" s="3">
        <f t="shared" si="75"/>
        <v>2918.1600000000035</v>
      </c>
      <c r="T682">
        <f t="shared" si="76"/>
        <v>1</v>
      </c>
    </row>
    <row r="683" spans="1:20" x14ac:dyDescent="0.25">
      <c r="A683" t="s">
        <v>1486</v>
      </c>
      <c r="B683" t="s">
        <v>801</v>
      </c>
      <c r="C683" s="1">
        <v>45050</v>
      </c>
      <c r="D683" s="1">
        <f>IF(E683="",C683+VLOOKUP(B683,Lembar2!$B$19:$C$24,2,FALSE),'Procurement Dataset'!E683)</f>
        <v>45068</v>
      </c>
      <c r="E683" s="1">
        <v>45068</v>
      </c>
      <c r="F683" t="s">
        <v>804</v>
      </c>
      <c r="G683" t="s">
        <v>796</v>
      </c>
      <c r="H683" s="5">
        <v>1981</v>
      </c>
      <c r="I683" s="3">
        <v>102.43</v>
      </c>
      <c r="J683" s="3">
        <v>90.99</v>
      </c>
      <c r="K683" s="5">
        <f t="shared" si="71"/>
        <v>204</v>
      </c>
      <c r="L683">
        <v>204</v>
      </c>
      <c r="M683" t="s">
        <v>793</v>
      </c>
      <c r="N683">
        <f t="shared" si="70"/>
        <v>18</v>
      </c>
      <c r="O683" t="str">
        <f t="shared" si="72"/>
        <v>Valid</v>
      </c>
      <c r="P683" s="1" t="str">
        <f>IF(N683&gt;=(VLOOKUP(B683,Lembar2!$B$19:$C$24,2,FALSE)+7),"Delayed","Ontime")</f>
        <v>Ontime</v>
      </c>
      <c r="Q683" s="3">
        <f t="shared" si="73"/>
        <v>202913.83000000002</v>
      </c>
      <c r="R683" s="3">
        <f t="shared" si="74"/>
        <v>180251.19</v>
      </c>
      <c r="S683" s="3">
        <f t="shared" si="75"/>
        <v>22662.640000000014</v>
      </c>
      <c r="T683">
        <f t="shared" si="76"/>
        <v>1</v>
      </c>
    </row>
    <row r="684" spans="1:20" x14ac:dyDescent="0.25">
      <c r="A684" t="s">
        <v>1487</v>
      </c>
      <c r="B684" t="s">
        <v>807</v>
      </c>
      <c r="C684" s="1">
        <v>44568</v>
      </c>
      <c r="D684" s="1">
        <f>IF(E684="",C684+VLOOKUP(B684,Lembar2!$B$19:$C$24,2,FALSE),'Procurement Dataset'!E684)</f>
        <v>44587</v>
      </c>
      <c r="E684" s="1">
        <v>44587</v>
      </c>
      <c r="F684" t="s">
        <v>799</v>
      </c>
      <c r="G684" t="s">
        <v>813</v>
      </c>
      <c r="H684" s="5">
        <v>739</v>
      </c>
      <c r="I684" s="3">
        <v>68.47</v>
      </c>
      <c r="J684" s="3">
        <v>66.09</v>
      </c>
      <c r="K684" s="5">
        <f t="shared" si="71"/>
        <v>19</v>
      </c>
      <c r="L684">
        <v>19</v>
      </c>
      <c r="M684" t="s">
        <v>793</v>
      </c>
      <c r="N684">
        <f t="shared" si="70"/>
        <v>19</v>
      </c>
      <c r="O684" t="str">
        <f t="shared" si="72"/>
        <v>Valid</v>
      </c>
      <c r="P684" s="1" t="str">
        <f>IF(N684&gt;=(VLOOKUP(B684,Lembar2!$B$19:$C$24,2,FALSE)+7),"Delayed","Ontime")</f>
        <v>Delayed</v>
      </c>
      <c r="Q684" s="3">
        <f t="shared" si="73"/>
        <v>50599.33</v>
      </c>
      <c r="R684" s="3">
        <f t="shared" si="74"/>
        <v>48840.51</v>
      </c>
      <c r="S684" s="3">
        <f t="shared" si="75"/>
        <v>1758.8199999999997</v>
      </c>
      <c r="T684">
        <f t="shared" si="76"/>
        <v>0</v>
      </c>
    </row>
    <row r="685" spans="1:20" x14ac:dyDescent="0.25">
      <c r="A685" t="s">
        <v>1488</v>
      </c>
      <c r="B685" t="s">
        <v>801</v>
      </c>
      <c r="C685" s="1">
        <v>44922</v>
      </c>
      <c r="D685" s="1">
        <f>IF(E685="",C685+VLOOKUP(B685,Lembar2!$B$19:$C$24,2,FALSE),'Procurement Dataset'!E685)</f>
        <v>44923</v>
      </c>
      <c r="E685" s="1">
        <v>44923</v>
      </c>
      <c r="F685" t="s">
        <v>804</v>
      </c>
      <c r="G685" t="s">
        <v>796</v>
      </c>
      <c r="H685" s="5">
        <v>1748</v>
      </c>
      <c r="I685" s="3">
        <v>68.25</v>
      </c>
      <c r="J685" s="3">
        <v>62.84</v>
      </c>
      <c r="K685" s="5">
        <f t="shared" si="71"/>
        <v>171</v>
      </c>
      <c r="L685">
        <v>171</v>
      </c>
      <c r="M685" t="s">
        <v>793</v>
      </c>
      <c r="N685">
        <f t="shared" si="70"/>
        <v>1</v>
      </c>
      <c r="O685" t="str">
        <f t="shared" si="72"/>
        <v>Valid</v>
      </c>
      <c r="P685" s="1" t="str">
        <f>IF(N685&gt;=(VLOOKUP(B685,Lembar2!$B$19:$C$24,2,FALSE)+7),"Delayed","Ontime")</f>
        <v>Ontime</v>
      </c>
      <c r="Q685" s="3">
        <f t="shared" si="73"/>
        <v>119301</v>
      </c>
      <c r="R685" s="3">
        <f t="shared" si="74"/>
        <v>109844.32</v>
      </c>
      <c r="S685" s="3">
        <f t="shared" si="75"/>
        <v>9456.679999999993</v>
      </c>
      <c r="T685">
        <f t="shared" si="76"/>
        <v>1</v>
      </c>
    </row>
    <row r="686" spans="1:20" x14ac:dyDescent="0.25">
      <c r="A686" t="s">
        <v>1489</v>
      </c>
      <c r="B686" t="s">
        <v>795</v>
      </c>
      <c r="C686" s="1">
        <v>44867</v>
      </c>
      <c r="D686" s="1">
        <f>IF(E686="",C686+VLOOKUP(B686,Lembar2!$B$19:$C$24,2,FALSE),'Procurement Dataset'!E686)</f>
        <v>44871</v>
      </c>
      <c r="E686" s="1">
        <v>44871</v>
      </c>
      <c r="F686" t="s">
        <v>791</v>
      </c>
      <c r="G686" t="s">
        <v>792</v>
      </c>
      <c r="H686" s="5">
        <v>429</v>
      </c>
      <c r="I686" s="3">
        <v>58.95</v>
      </c>
      <c r="J686" s="3">
        <v>55.35</v>
      </c>
      <c r="K686" s="5">
        <f t="shared" si="71"/>
        <v>59</v>
      </c>
      <c r="L686">
        <v>59</v>
      </c>
      <c r="M686" t="s">
        <v>805</v>
      </c>
      <c r="N686">
        <f t="shared" si="70"/>
        <v>4</v>
      </c>
      <c r="O686" t="str">
        <f t="shared" si="72"/>
        <v>Valid</v>
      </c>
      <c r="P686" s="1" t="str">
        <f>IF(N686&gt;=(VLOOKUP(B686,Lembar2!$B$19:$C$24,2,FALSE)+7),"Delayed","Ontime")</f>
        <v>Ontime</v>
      </c>
      <c r="Q686" s="3">
        <f t="shared" si="73"/>
        <v>25289.550000000003</v>
      </c>
      <c r="R686" s="3">
        <f t="shared" si="74"/>
        <v>23745.15</v>
      </c>
      <c r="S686" s="3">
        <f t="shared" si="75"/>
        <v>1544.4000000000015</v>
      </c>
      <c r="T686">
        <f t="shared" si="76"/>
        <v>1</v>
      </c>
    </row>
    <row r="687" spans="1:20" x14ac:dyDescent="0.25">
      <c r="A687" t="s">
        <v>1490</v>
      </c>
      <c r="B687" t="s">
        <v>798</v>
      </c>
      <c r="C687" s="1">
        <v>44961</v>
      </c>
      <c r="D687" s="1">
        <f>IF(E687="",C687+VLOOKUP(B687,Lembar2!$B$19:$C$24,2,FALSE),'Procurement Dataset'!E687)</f>
        <v>44971</v>
      </c>
      <c r="F687" t="s">
        <v>817</v>
      </c>
      <c r="G687" t="s">
        <v>796</v>
      </c>
      <c r="H687" s="5">
        <v>1618</v>
      </c>
      <c r="I687" s="3">
        <v>32.76</v>
      </c>
      <c r="J687" s="3">
        <v>28.41</v>
      </c>
      <c r="K687" s="5">
        <f t="shared" si="71"/>
        <v>62</v>
      </c>
      <c r="L687">
        <v>62</v>
      </c>
      <c r="M687" t="s">
        <v>793</v>
      </c>
      <c r="N687" t="str">
        <f t="shared" si="70"/>
        <v/>
      </c>
      <c r="O687" t="str">
        <f t="shared" si="72"/>
        <v>Valid</v>
      </c>
      <c r="P687" s="1" t="str">
        <f>IF(N687&gt;=(VLOOKUP(B687,Lembar2!$B$19:$C$24,2,FALSE)+7),"Delayed","Ontime")</f>
        <v>Delayed</v>
      </c>
      <c r="Q687" s="3">
        <f t="shared" si="73"/>
        <v>53005.68</v>
      </c>
      <c r="R687" s="3">
        <f t="shared" si="74"/>
        <v>45967.38</v>
      </c>
      <c r="S687" s="3">
        <f t="shared" si="75"/>
        <v>7038.3000000000029</v>
      </c>
      <c r="T687">
        <f t="shared" si="76"/>
        <v>0</v>
      </c>
    </row>
    <row r="688" spans="1:20" x14ac:dyDescent="0.25">
      <c r="A688" t="s">
        <v>1491</v>
      </c>
      <c r="B688" t="s">
        <v>801</v>
      </c>
      <c r="C688" s="1">
        <v>44991</v>
      </c>
      <c r="D688" s="1">
        <f>IF(E688="",C688+VLOOKUP(B688,Lembar2!$B$19:$C$24,2,FALSE),'Procurement Dataset'!E688)</f>
        <v>44992</v>
      </c>
      <c r="E688" s="1">
        <v>44992</v>
      </c>
      <c r="F688" t="s">
        <v>802</v>
      </c>
      <c r="G688" t="s">
        <v>796</v>
      </c>
      <c r="H688" s="5">
        <v>1006</v>
      </c>
      <c r="I688" s="3">
        <v>27.7</v>
      </c>
      <c r="J688" s="3">
        <v>23.66</v>
      </c>
      <c r="K688" s="5">
        <f t="shared" si="71"/>
        <v>101</v>
      </c>
      <c r="L688">
        <v>101</v>
      </c>
      <c r="M688" t="s">
        <v>805</v>
      </c>
      <c r="N688">
        <f t="shared" si="70"/>
        <v>1</v>
      </c>
      <c r="O688" t="str">
        <f t="shared" si="72"/>
        <v>Valid</v>
      </c>
      <c r="P688" s="1" t="str">
        <f>IF(N688&gt;=(VLOOKUP(B688,Lembar2!$B$19:$C$24,2,FALSE)+7),"Delayed","Ontime")</f>
        <v>Ontime</v>
      </c>
      <c r="Q688" s="3">
        <f t="shared" si="73"/>
        <v>27866.2</v>
      </c>
      <c r="R688" s="3">
        <f t="shared" si="74"/>
        <v>23801.96</v>
      </c>
      <c r="S688" s="3">
        <f t="shared" si="75"/>
        <v>4064.2400000000016</v>
      </c>
      <c r="T688">
        <f t="shared" si="76"/>
        <v>1</v>
      </c>
    </row>
    <row r="689" spans="1:20" x14ac:dyDescent="0.25">
      <c r="A689" t="s">
        <v>1492</v>
      </c>
      <c r="B689" t="s">
        <v>801</v>
      </c>
      <c r="C689" s="1">
        <v>45113</v>
      </c>
      <c r="D689" s="1">
        <f>IF(E689="",C689+VLOOKUP(B689,Lembar2!$B$19:$C$24,2,FALSE),'Procurement Dataset'!E689)</f>
        <v>45122</v>
      </c>
      <c r="E689" s="1">
        <v>45122</v>
      </c>
      <c r="F689" t="s">
        <v>817</v>
      </c>
      <c r="G689" t="s">
        <v>811</v>
      </c>
      <c r="H689" s="5">
        <v>740</v>
      </c>
      <c r="I689" s="3">
        <v>32.53</v>
      </c>
      <c r="J689" s="3">
        <v>29.35</v>
      </c>
      <c r="K689" s="5">
        <f t="shared" si="71"/>
        <v>84</v>
      </c>
      <c r="L689">
        <v>84</v>
      </c>
      <c r="M689" t="s">
        <v>793</v>
      </c>
      <c r="N689">
        <f t="shared" si="70"/>
        <v>9</v>
      </c>
      <c r="O689" t="str">
        <f t="shared" si="72"/>
        <v>Valid</v>
      </c>
      <c r="P689" s="1" t="str">
        <f>IF(N689&gt;=(VLOOKUP(B689,Lembar2!$B$19:$C$24,2,FALSE)+7),"Delayed","Ontime")</f>
        <v>Ontime</v>
      </c>
      <c r="Q689" s="3">
        <f t="shared" si="73"/>
        <v>24072.2</v>
      </c>
      <c r="R689" s="3">
        <f t="shared" si="74"/>
        <v>21719</v>
      </c>
      <c r="S689" s="3">
        <f t="shared" si="75"/>
        <v>2353.2000000000007</v>
      </c>
      <c r="T689">
        <f t="shared" si="76"/>
        <v>1</v>
      </c>
    </row>
    <row r="690" spans="1:20" x14ac:dyDescent="0.25">
      <c r="A690" t="s">
        <v>1493</v>
      </c>
      <c r="B690" t="s">
        <v>798</v>
      </c>
      <c r="C690" s="1">
        <v>45121</v>
      </c>
      <c r="D690" s="1">
        <f>IF(E690="",C690+VLOOKUP(B690,Lembar2!$B$19:$C$24,2,FALSE),'Procurement Dataset'!E690)</f>
        <v>45131</v>
      </c>
      <c r="F690" t="s">
        <v>804</v>
      </c>
      <c r="G690" t="s">
        <v>796</v>
      </c>
      <c r="H690" s="5">
        <v>1500</v>
      </c>
      <c r="I690" s="3">
        <v>29.19</v>
      </c>
      <c r="J690" s="3">
        <v>27.24</v>
      </c>
      <c r="K690" s="5">
        <f t="shared" si="71"/>
        <v>72</v>
      </c>
      <c r="L690">
        <v>72</v>
      </c>
      <c r="M690" t="s">
        <v>793</v>
      </c>
      <c r="N690" t="str">
        <f t="shared" si="70"/>
        <v/>
      </c>
      <c r="O690" t="str">
        <f t="shared" si="72"/>
        <v>Valid</v>
      </c>
      <c r="P690" s="1" t="str">
        <f>IF(N690&gt;=(VLOOKUP(B690,Lembar2!$B$19:$C$24,2,FALSE)+7),"Delayed","Ontime")</f>
        <v>Delayed</v>
      </c>
      <c r="Q690" s="3">
        <f t="shared" si="73"/>
        <v>43785</v>
      </c>
      <c r="R690" s="3">
        <f t="shared" si="74"/>
        <v>40860</v>
      </c>
      <c r="S690" s="3">
        <f t="shared" si="75"/>
        <v>2925</v>
      </c>
      <c r="T690">
        <f t="shared" si="76"/>
        <v>0</v>
      </c>
    </row>
    <row r="691" spans="1:20" x14ac:dyDescent="0.25">
      <c r="A691" t="s">
        <v>1494</v>
      </c>
      <c r="B691" t="s">
        <v>795</v>
      </c>
      <c r="C691" s="1">
        <v>45179</v>
      </c>
      <c r="D691" s="1">
        <f>IF(E691="",C691+VLOOKUP(B691,Lembar2!$B$19:$C$24,2,FALSE),'Procurement Dataset'!E691)</f>
        <v>45198</v>
      </c>
      <c r="E691" s="1">
        <v>45198</v>
      </c>
      <c r="F691" t="s">
        <v>791</v>
      </c>
      <c r="G691" t="s">
        <v>792</v>
      </c>
      <c r="H691" s="5">
        <v>1686</v>
      </c>
      <c r="I691" s="3">
        <v>88.18</v>
      </c>
      <c r="J691" s="3">
        <v>77.150000000000006</v>
      </c>
      <c r="K691" s="5">
        <f t="shared" si="71"/>
        <v>0</v>
      </c>
      <c r="M691" t="s">
        <v>793</v>
      </c>
      <c r="N691">
        <f t="shared" si="70"/>
        <v>19</v>
      </c>
      <c r="O691" t="str">
        <f t="shared" si="72"/>
        <v>Valid</v>
      </c>
      <c r="P691" s="1" t="str">
        <f>IF(N691&gt;=(VLOOKUP(B691,Lembar2!$B$19:$C$24,2,FALSE)+7),"Delayed","Ontime")</f>
        <v>Delayed</v>
      </c>
      <c r="Q691" s="3">
        <f t="shared" si="73"/>
        <v>148671.48000000001</v>
      </c>
      <c r="R691" s="3">
        <f t="shared" si="74"/>
        <v>130074.90000000001</v>
      </c>
      <c r="S691" s="3">
        <f t="shared" si="75"/>
        <v>18596.580000000002</v>
      </c>
      <c r="T691">
        <f t="shared" si="76"/>
        <v>0</v>
      </c>
    </row>
    <row r="692" spans="1:20" x14ac:dyDescent="0.25">
      <c r="A692" t="s">
        <v>1495</v>
      </c>
      <c r="B692" t="s">
        <v>807</v>
      </c>
      <c r="C692" s="1">
        <v>44787</v>
      </c>
      <c r="D692" s="1">
        <f>IF(E692="",C692+VLOOKUP(B692,Lembar2!$B$19:$C$24,2,FALSE),'Procurement Dataset'!E692)</f>
        <v>44789</v>
      </c>
      <c r="E692" s="1">
        <v>44789</v>
      </c>
      <c r="F692" t="s">
        <v>804</v>
      </c>
      <c r="G692" t="s">
        <v>792</v>
      </c>
      <c r="H692" s="5">
        <v>1341</v>
      </c>
      <c r="I692" s="3">
        <v>42.96</v>
      </c>
      <c r="J692" s="3">
        <v>41.75</v>
      </c>
      <c r="K692" s="5">
        <f t="shared" si="71"/>
        <v>39</v>
      </c>
      <c r="L692">
        <v>39</v>
      </c>
      <c r="M692" t="s">
        <v>793</v>
      </c>
      <c r="N692">
        <f t="shared" si="70"/>
        <v>2</v>
      </c>
      <c r="O692" t="str">
        <f t="shared" si="72"/>
        <v>Valid</v>
      </c>
      <c r="P692" s="1" t="str">
        <f>IF(N692&gt;=(VLOOKUP(B692,Lembar2!$B$19:$C$24,2,FALSE)+7),"Delayed","Ontime")</f>
        <v>Ontime</v>
      </c>
      <c r="Q692" s="3">
        <f t="shared" si="73"/>
        <v>57609.36</v>
      </c>
      <c r="R692" s="3">
        <f t="shared" si="74"/>
        <v>55986.75</v>
      </c>
      <c r="S692" s="3">
        <f t="shared" si="75"/>
        <v>1622.6100000000006</v>
      </c>
      <c r="T692">
        <f t="shared" si="76"/>
        <v>1</v>
      </c>
    </row>
    <row r="693" spans="1:20" x14ac:dyDescent="0.25">
      <c r="A693" t="s">
        <v>1496</v>
      </c>
      <c r="B693" t="s">
        <v>790</v>
      </c>
      <c r="C693" s="1">
        <v>45061</v>
      </c>
      <c r="D693" s="1">
        <f>IF(E693="",C693+VLOOKUP(B693,Lembar2!$B$19:$C$24,2,FALSE),'Procurement Dataset'!E693)</f>
        <v>45067</v>
      </c>
      <c r="E693" s="1">
        <v>45067</v>
      </c>
      <c r="F693" t="s">
        <v>799</v>
      </c>
      <c r="G693" t="s">
        <v>792</v>
      </c>
      <c r="H693" s="5">
        <v>1908</v>
      </c>
      <c r="I693" s="3">
        <v>16.420000000000002</v>
      </c>
      <c r="J693" s="3">
        <v>15.31</v>
      </c>
      <c r="K693" s="5">
        <f t="shared" si="71"/>
        <v>36</v>
      </c>
      <c r="L693">
        <v>36</v>
      </c>
      <c r="M693" t="s">
        <v>793</v>
      </c>
      <c r="N693">
        <f t="shared" si="70"/>
        <v>6</v>
      </c>
      <c r="O693" t="str">
        <f t="shared" si="72"/>
        <v>Valid</v>
      </c>
      <c r="P693" s="1" t="str">
        <f>IF(N693&gt;=(VLOOKUP(B693,Lembar2!$B$19:$C$24,2,FALSE)+7),"Delayed","Ontime")</f>
        <v>Ontime</v>
      </c>
      <c r="Q693" s="3">
        <f t="shared" si="73"/>
        <v>31329.360000000004</v>
      </c>
      <c r="R693" s="3">
        <f t="shared" si="74"/>
        <v>29211.48</v>
      </c>
      <c r="S693" s="3">
        <f t="shared" si="75"/>
        <v>2117.8800000000047</v>
      </c>
      <c r="T693">
        <f t="shared" si="76"/>
        <v>1</v>
      </c>
    </row>
    <row r="694" spans="1:20" x14ac:dyDescent="0.25">
      <c r="A694" t="s">
        <v>1497</v>
      </c>
      <c r="B694" t="s">
        <v>798</v>
      </c>
      <c r="C694" s="1">
        <v>44786</v>
      </c>
      <c r="D694" s="1">
        <f>IF(E694="",C694+VLOOKUP(B694,Lembar2!$B$19:$C$24,2,FALSE),'Procurement Dataset'!E694)</f>
        <v>44806</v>
      </c>
      <c r="E694" s="1">
        <v>44806</v>
      </c>
      <c r="F694" t="s">
        <v>799</v>
      </c>
      <c r="G694" t="s">
        <v>811</v>
      </c>
      <c r="H694" s="5">
        <v>1650</v>
      </c>
      <c r="I694" s="3">
        <v>100.62</v>
      </c>
      <c r="J694" s="3">
        <v>90.45</v>
      </c>
      <c r="K694" s="5">
        <f t="shared" si="71"/>
        <v>85</v>
      </c>
      <c r="L694">
        <v>85</v>
      </c>
      <c r="M694" t="s">
        <v>793</v>
      </c>
      <c r="N694">
        <f t="shared" si="70"/>
        <v>20</v>
      </c>
      <c r="O694" t="str">
        <f t="shared" si="72"/>
        <v>Valid</v>
      </c>
      <c r="P694" s="1" t="str">
        <f>IF(N694&gt;=(VLOOKUP(B694,Lembar2!$B$19:$C$24,2,FALSE)+7),"Delayed","Ontime")</f>
        <v>Delayed</v>
      </c>
      <c r="Q694" s="3">
        <f t="shared" si="73"/>
        <v>166023</v>
      </c>
      <c r="R694" s="3">
        <f t="shared" si="74"/>
        <v>149242.5</v>
      </c>
      <c r="S694" s="3">
        <f t="shared" si="75"/>
        <v>16780.5</v>
      </c>
      <c r="T694">
        <f t="shared" si="76"/>
        <v>0</v>
      </c>
    </row>
    <row r="695" spans="1:20" x14ac:dyDescent="0.25">
      <c r="A695" t="s">
        <v>1498</v>
      </c>
      <c r="B695" t="s">
        <v>790</v>
      </c>
      <c r="C695" s="1">
        <v>44841</v>
      </c>
      <c r="D695" s="1">
        <f>IF(E695="",C695+VLOOKUP(B695,Lembar2!$B$19:$C$24,2,FALSE),'Procurement Dataset'!E695)</f>
        <v>44854</v>
      </c>
      <c r="E695" s="1">
        <v>44854</v>
      </c>
      <c r="F695" t="s">
        <v>799</v>
      </c>
      <c r="G695" t="s">
        <v>796</v>
      </c>
      <c r="H695" s="5">
        <v>1490</v>
      </c>
      <c r="I695" s="3">
        <v>93.57</v>
      </c>
      <c r="J695" s="3">
        <v>81.680000000000007</v>
      </c>
      <c r="K695" s="5">
        <f t="shared" si="71"/>
        <v>29</v>
      </c>
      <c r="L695">
        <v>29</v>
      </c>
      <c r="M695" t="s">
        <v>793</v>
      </c>
      <c r="N695">
        <f t="shared" si="70"/>
        <v>13</v>
      </c>
      <c r="O695" t="str">
        <f t="shared" si="72"/>
        <v>Valid</v>
      </c>
      <c r="P695" s="1" t="str">
        <f>IF(N695&gt;=(VLOOKUP(B695,Lembar2!$B$19:$C$24,2,FALSE)+7),"Delayed","Ontime")</f>
        <v>Ontime</v>
      </c>
      <c r="Q695" s="3">
        <f t="shared" si="73"/>
        <v>139419.29999999999</v>
      </c>
      <c r="R695" s="3">
        <f t="shared" si="74"/>
        <v>121703.20000000001</v>
      </c>
      <c r="S695" s="3">
        <f t="shared" si="75"/>
        <v>17716.099999999977</v>
      </c>
      <c r="T695">
        <f t="shared" si="76"/>
        <v>1</v>
      </c>
    </row>
    <row r="696" spans="1:20" x14ac:dyDescent="0.25">
      <c r="A696" t="s">
        <v>1499</v>
      </c>
      <c r="B696" t="s">
        <v>795</v>
      </c>
      <c r="C696" s="1">
        <v>45008</v>
      </c>
      <c r="D696" s="1">
        <f>IF(E696="",C696+VLOOKUP(B696,Lembar2!$B$19:$C$24,2,FALSE),'Procurement Dataset'!E696)</f>
        <v>45016</v>
      </c>
      <c r="E696" s="1">
        <v>45016</v>
      </c>
      <c r="F696" t="s">
        <v>804</v>
      </c>
      <c r="G696" t="s">
        <v>796</v>
      </c>
      <c r="H696" s="5">
        <v>1241</v>
      </c>
      <c r="I696" s="3">
        <v>100.04</v>
      </c>
      <c r="J696" s="3">
        <v>97.56</v>
      </c>
      <c r="K696" s="5">
        <f t="shared" si="71"/>
        <v>187</v>
      </c>
      <c r="L696">
        <v>187</v>
      </c>
      <c r="M696" t="s">
        <v>793</v>
      </c>
      <c r="N696">
        <f t="shared" si="70"/>
        <v>8</v>
      </c>
      <c r="O696" t="str">
        <f t="shared" si="72"/>
        <v>Valid</v>
      </c>
      <c r="P696" s="1" t="str">
        <f>IF(N696&gt;=(VLOOKUP(B696,Lembar2!$B$19:$C$24,2,FALSE)+7),"Delayed","Ontime")</f>
        <v>Ontime</v>
      </c>
      <c r="Q696" s="3">
        <f t="shared" si="73"/>
        <v>124149.64000000001</v>
      </c>
      <c r="R696" s="3">
        <f t="shared" si="74"/>
        <v>121071.96</v>
      </c>
      <c r="S696" s="3">
        <f t="shared" si="75"/>
        <v>3077.6800000000076</v>
      </c>
      <c r="T696">
        <f t="shared" si="76"/>
        <v>1</v>
      </c>
    </row>
    <row r="697" spans="1:20" x14ac:dyDescent="0.25">
      <c r="A697" t="s">
        <v>1500</v>
      </c>
      <c r="B697" t="s">
        <v>801</v>
      </c>
      <c r="C697" s="1">
        <v>45059</v>
      </c>
      <c r="D697" s="1">
        <f>IF(E697="",C697+VLOOKUP(B697,Lembar2!$B$19:$C$24,2,FALSE),'Procurement Dataset'!E697)</f>
        <v>45063</v>
      </c>
      <c r="E697" s="1">
        <v>45063</v>
      </c>
      <c r="F697" t="s">
        <v>799</v>
      </c>
      <c r="G697" t="s">
        <v>796</v>
      </c>
      <c r="H697" s="5">
        <v>1915</v>
      </c>
      <c r="I697" s="3">
        <v>107.51</v>
      </c>
      <c r="J697" s="3">
        <v>102.66</v>
      </c>
      <c r="K697" s="5">
        <f t="shared" si="71"/>
        <v>184</v>
      </c>
      <c r="L697">
        <v>184</v>
      </c>
      <c r="M697" t="s">
        <v>793</v>
      </c>
      <c r="N697">
        <f t="shared" si="70"/>
        <v>4</v>
      </c>
      <c r="O697" t="str">
        <f t="shared" si="72"/>
        <v>Valid</v>
      </c>
      <c r="P697" s="1" t="str">
        <f>IF(N697&gt;=(VLOOKUP(B697,Lembar2!$B$19:$C$24,2,FALSE)+7),"Delayed","Ontime")</f>
        <v>Ontime</v>
      </c>
      <c r="Q697" s="3">
        <f t="shared" si="73"/>
        <v>205881.65000000002</v>
      </c>
      <c r="R697" s="3">
        <f t="shared" si="74"/>
        <v>196593.9</v>
      </c>
      <c r="S697" s="3">
        <f t="shared" si="75"/>
        <v>9287.7500000000291</v>
      </c>
      <c r="T697">
        <f t="shared" si="76"/>
        <v>1</v>
      </c>
    </row>
    <row r="698" spans="1:20" x14ac:dyDescent="0.25">
      <c r="A698" t="s">
        <v>1501</v>
      </c>
      <c r="B698" t="s">
        <v>801</v>
      </c>
      <c r="C698" s="1">
        <v>44591</v>
      </c>
      <c r="D698" s="1">
        <f>IF(E698="",C698+VLOOKUP(B698,Lembar2!$B$19:$C$24,2,FALSE),'Procurement Dataset'!E698)</f>
        <v>44606</v>
      </c>
      <c r="E698" s="1">
        <v>44606</v>
      </c>
      <c r="F698" t="s">
        <v>804</v>
      </c>
      <c r="G698" t="s">
        <v>796</v>
      </c>
      <c r="H698" s="5">
        <v>1116</v>
      </c>
      <c r="I698" s="3">
        <v>25.65</v>
      </c>
      <c r="J698" s="3">
        <v>24.28</v>
      </c>
      <c r="K698" s="5">
        <f t="shared" si="71"/>
        <v>121</v>
      </c>
      <c r="L698">
        <v>121</v>
      </c>
      <c r="M698" t="s">
        <v>793</v>
      </c>
      <c r="N698">
        <f t="shared" si="70"/>
        <v>15</v>
      </c>
      <c r="O698" t="str">
        <f t="shared" si="72"/>
        <v>Valid</v>
      </c>
      <c r="P698" s="1" t="str">
        <f>IF(N698&gt;=(VLOOKUP(B698,Lembar2!$B$19:$C$24,2,FALSE)+7),"Delayed","Ontime")</f>
        <v>Ontime</v>
      </c>
      <c r="Q698" s="3">
        <f t="shared" si="73"/>
        <v>28625.399999999998</v>
      </c>
      <c r="R698" s="3">
        <f t="shared" si="74"/>
        <v>27096.48</v>
      </c>
      <c r="S698" s="3">
        <f t="shared" si="75"/>
        <v>1528.9199999999983</v>
      </c>
      <c r="T698">
        <f t="shared" si="76"/>
        <v>1</v>
      </c>
    </row>
    <row r="699" spans="1:20" x14ac:dyDescent="0.25">
      <c r="A699" t="s">
        <v>1502</v>
      </c>
      <c r="B699" t="s">
        <v>795</v>
      </c>
      <c r="C699" s="1">
        <v>44960</v>
      </c>
      <c r="D699" s="1">
        <f>IF(E699="",C699+VLOOKUP(B699,Lembar2!$B$19:$C$24,2,FALSE),'Procurement Dataset'!E699)</f>
        <v>44965</v>
      </c>
      <c r="E699" s="1">
        <v>44965</v>
      </c>
      <c r="F699" t="s">
        <v>804</v>
      </c>
      <c r="G699" t="s">
        <v>796</v>
      </c>
      <c r="H699" s="5">
        <v>1629</v>
      </c>
      <c r="I699" s="3">
        <v>48.63</v>
      </c>
      <c r="J699" s="3">
        <v>43.28</v>
      </c>
      <c r="K699" s="5">
        <f t="shared" si="71"/>
        <v>260</v>
      </c>
      <c r="L699">
        <v>260</v>
      </c>
      <c r="M699" t="s">
        <v>793</v>
      </c>
      <c r="N699">
        <f t="shared" si="70"/>
        <v>5</v>
      </c>
      <c r="O699" t="str">
        <f t="shared" si="72"/>
        <v>Valid</v>
      </c>
      <c r="P699" s="1" t="str">
        <f>IF(N699&gt;=(VLOOKUP(B699,Lembar2!$B$19:$C$24,2,FALSE)+7),"Delayed","Ontime")</f>
        <v>Ontime</v>
      </c>
      <c r="Q699" s="3">
        <f t="shared" si="73"/>
        <v>79218.27</v>
      </c>
      <c r="R699" s="3">
        <f t="shared" si="74"/>
        <v>70503.12</v>
      </c>
      <c r="S699" s="3">
        <f t="shared" si="75"/>
        <v>8715.1500000000087</v>
      </c>
      <c r="T699">
        <f t="shared" si="76"/>
        <v>1</v>
      </c>
    </row>
    <row r="700" spans="1:20" x14ac:dyDescent="0.25">
      <c r="A700" t="s">
        <v>1503</v>
      </c>
      <c r="B700" t="s">
        <v>807</v>
      </c>
      <c r="C700" s="1">
        <v>44906</v>
      </c>
      <c r="D700" s="1">
        <f>IF(E700="",C700+VLOOKUP(B700,Lembar2!$B$19:$C$24,2,FALSE),'Procurement Dataset'!E700)</f>
        <v>44913</v>
      </c>
      <c r="E700" s="1">
        <v>44913</v>
      </c>
      <c r="F700" t="s">
        <v>791</v>
      </c>
      <c r="G700" t="s">
        <v>796</v>
      </c>
      <c r="H700" s="5">
        <v>334</v>
      </c>
      <c r="I700" s="3">
        <v>82.54</v>
      </c>
      <c r="J700" s="3">
        <v>74.63</v>
      </c>
      <c r="K700" s="5">
        <f t="shared" si="71"/>
        <v>0</v>
      </c>
      <c r="M700" t="s">
        <v>793</v>
      </c>
      <c r="N700">
        <f t="shared" si="70"/>
        <v>7</v>
      </c>
      <c r="O700" t="str">
        <f t="shared" si="72"/>
        <v>Valid</v>
      </c>
      <c r="P700" s="1" t="str">
        <f>IF(N700&gt;=(VLOOKUP(B700,Lembar2!$B$19:$C$24,2,FALSE)+7),"Delayed","Ontime")</f>
        <v>Ontime</v>
      </c>
      <c r="Q700" s="3">
        <f t="shared" si="73"/>
        <v>27568.36</v>
      </c>
      <c r="R700" s="3">
        <f t="shared" si="74"/>
        <v>24926.42</v>
      </c>
      <c r="S700" s="3">
        <f t="shared" si="75"/>
        <v>2641.9400000000023</v>
      </c>
      <c r="T700">
        <f t="shared" si="76"/>
        <v>1</v>
      </c>
    </row>
    <row r="701" spans="1:20" x14ac:dyDescent="0.25">
      <c r="A701" t="s">
        <v>1504</v>
      </c>
      <c r="B701" t="s">
        <v>807</v>
      </c>
      <c r="C701" s="1">
        <v>45246</v>
      </c>
      <c r="D701" s="1">
        <f>IF(E701="",C701+VLOOKUP(B701,Lembar2!$B$19:$C$24,2,FALSE),'Procurement Dataset'!E701)</f>
        <v>45266</v>
      </c>
      <c r="E701" s="1">
        <v>45266</v>
      </c>
      <c r="F701" t="s">
        <v>802</v>
      </c>
      <c r="G701" t="s">
        <v>796</v>
      </c>
      <c r="H701" s="5">
        <v>446</v>
      </c>
      <c r="I701" s="3">
        <v>80.63</v>
      </c>
      <c r="J701" s="3">
        <v>70.37</v>
      </c>
      <c r="K701" s="5">
        <f t="shared" si="71"/>
        <v>0</v>
      </c>
      <c r="M701" t="s">
        <v>793</v>
      </c>
      <c r="N701">
        <f t="shared" si="70"/>
        <v>20</v>
      </c>
      <c r="O701" t="str">
        <f t="shared" si="72"/>
        <v>Valid</v>
      </c>
      <c r="P701" s="1" t="str">
        <f>IF(N701&gt;=(VLOOKUP(B701,Lembar2!$B$19:$C$24,2,FALSE)+7),"Delayed","Ontime")</f>
        <v>Delayed</v>
      </c>
      <c r="Q701" s="3">
        <f t="shared" si="73"/>
        <v>35960.979999999996</v>
      </c>
      <c r="R701" s="3">
        <f t="shared" si="74"/>
        <v>31385.02</v>
      </c>
      <c r="S701" s="3">
        <f t="shared" si="75"/>
        <v>4575.9599999999955</v>
      </c>
      <c r="T701">
        <f t="shared" si="76"/>
        <v>0</v>
      </c>
    </row>
    <row r="702" spans="1:20" x14ac:dyDescent="0.25">
      <c r="A702" t="s">
        <v>1505</v>
      </c>
      <c r="B702" t="s">
        <v>795</v>
      </c>
      <c r="C702" s="1">
        <v>45257</v>
      </c>
      <c r="D702" s="1">
        <f>IF(E702="",C702+VLOOKUP(B702,Lembar2!$B$19:$C$24,2,FALSE),'Procurement Dataset'!E702)</f>
        <v>45268</v>
      </c>
      <c r="F702" t="s">
        <v>817</v>
      </c>
      <c r="G702" t="s">
        <v>796</v>
      </c>
      <c r="H702" s="5">
        <v>61</v>
      </c>
      <c r="I702" s="3">
        <v>26.47</v>
      </c>
      <c r="J702" s="3">
        <v>24.62</v>
      </c>
      <c r="K702" s="5">
        <f t="shared" si="71"/>
        <v>6</v>
      </c>
      <c r="L702">
        <v>6</v>
      </c>
      <c r="M702" t="s">
        <v>793</v>
      </c>
      <c r="N702" t="str">
        <f t="shared" si="70"/>
        <v/>
      </c>
      <c r="O702" t="str">
        <f t="shared" si="72"/>
        <v>Valid</v>
      </c>
      <c r="P702" s="1" t="str">
        <f>IF(N702&gt;=(VLOOKUP(B702,Lembar2!$B$19:$C$24,2,FALSE)+7),"Delayed","Ontime")</f>
        <v>Delayed</v>
      </c>
      <c r="Q702" s="3">
        <f t="shared" si="73"/>
        <v>1614.6699999999998</v>
      </c>
      <c r="R702" s="3">
        <f t="shared" si="74"/>
        <v>1501.8200000000002</v>
      </c>
      <c r="S702" s="3">
        <f t="shared" si="75"/>
        <v>112.84999999999968</v>
      </c>
      <c r="T702">
        <f t="shared" si="76"/>
        <v>0</v>
      </c>
    </row>
    <row r="703" spans="1:20" x14ac:dyDescent="0.25">
      <c r="A703" t="s">
        <v>1506</v>
      </c>
      <c r="B703" t="s">
        <v>795</v>
      </c>
      <c r="C703" s="1">
        <v>44976</v>
      </c>
      <c r="D703" s="1">
        <f>IF(E703="",C703+VLOOKUP(B703,Lembar2!$B$19:$C$24,2,FALSE),'Procurement Dataset'!E703)</f>
        <v>44978</v>
      </c>
      <c r="E703" s="1">
        <v>44978</v>
      </c>
      <c r="F703" t="s">
        <v>802</v>
      </c>
      <c r="G703" t="s">
        <v>796</v>
      </c>
      <c r="H703" s="5">
        <v>1680</v>
      </c>
      <c r="I703" s="3">
        <v>88.85</v>
      </c>
      <c r="J703" s="3">
        <v>87.53</v>
      </c>
      <c r="K703" s="5">
        <f t="shared" si="71"/>
        <v>0</v>
      </c>
      <c r="M703" t="s">
        <v>793</v>
      </c>
      <c r="N703">
        <f t="shared" si="70"/>
        <v>2</v>
      </c>
      <c r="O703" t="str">
        <f t="shared" si="72"/>
        <v>Valid</v>
      </c>
      <c r="P703" s="1" t="str">
        <f>IF(N703&gt;=(VLOOKUP(B703,Lembar2!$B$19:$C$24,2,FALSE)+7),"Delayed","Ontime")</f>
        <v>Ontime</v>
      </c>
      <c r="Q703" s="3">
        <f t="shared" si="73"/>
        <v>149268</v>
      </c>
      <c r="R703" s="3">
        <f t="shared" si="74"/>
        <v>147050.4</v>
      </c>
      <c r="S703" s="3">
        <f t="shared" si="75"/>
        <v>2217.6000000000058</v>
      </c>
      <c r="T703">
        <f t="shared" si="76"/>
        <v>1</v>
      </c>
    </row>
    <row r="704" spans="1:20" x14ac:dyDescent="0.25">
      <c r="A704" t="s">
        <v>1507</v>
      </c>
      <c r="B704" t="s">
        <v>795</v>
      </c>
      <c r="C704" s="1">
        <v>44731</v>
      </c>
      <c r="D704" s="1">
        <f>IF(E704="",C704+VLOOKUP(B704,Lembar2!$B$19:$C$24,2,FALSE),'Procurement Dataset'!E704)</f>
        <v>44748</v>
      </c>
      <c r="E704" s="1">
        <v>44748</v>
      </c>
      <c r="F704" t="s">
        <v>817</v>
      </c>
      <c r="G704" t="s">
        <v>796</v>
      </c>
      <c r="H704" s="5">
        <v>1375</v>
      </c>
      <c r="I704" s="3">
        <v>30.95</v>
      </c>
      <c r="J704" s="3">
        <v>30.02</v>
      </c>
      <c r="K704" s="5">
        <f t="shared" si="71"/>
        <v>223</v>
      </c>
      <c r="L704">
        <v>223</v>
      </c>
      <c r="M704" t="s">
        <v>793</v>
      </c>
      <c r="N704">
        <f t="shared" si="70"/>
        <v>17</v>
      </c>
      <c r="O704" t="str">
        <f t="shared" si="72"/>
        <v>Valid</v>
      </c>
      <c r="P704" s="1" t="str">
        <f>IF(N704&gt;=(VLOOKUP(B704,Lembar2!$B$19:$C$24,2,FALSE)+7),"Delayed","Ontime")</f>
        <v>Ontime</v>
      </c>
      <c r="Q704" s="3">
        <f t="shared" si="73"/>
        <v>42556.25</v>
      </c>
      <c r="R704" s="3">
        <f t="shared" si="74"/>
        <v>41277.5</v>
      </c>
      <c r="S704" s="3">
        <f t="shared" si="75"/>
        <v>1278.75</v>
      </c>
      <c r="T704">
        <f t="shared" si="76"/>
        <v>1</v>
      </c>
    </row>
    <row r="705" spans="1:20" x14ac:dyDescent="0.25">
      <c r="A705" t="s">
        <v>1508</v>
      </c>
      <c r="B705" t="s">
        <v>795</v>
      </c>
      <c r="C705" s="1">
        <v>45040</v>
      </c>
      <c r="D705" s="1">
        <f>IF(E705="",C705+VLOOKUP(B705,Lembar2!$B$19:$C$24,2,FALSE),'Procurement Dataset'!E705)</f>
        <v>45051</v>
      </c>
      <c r="E705" s="1">
        <v>45051</v>
      </c>
      <c r="F705" t="s">
        <v>817</v>
      </c>
      <c r="G705" t="s">
        <v>811</v>
      </c>
      <c r="H705" s="5">
        <v>1971</v>
      </c>
      <c r="I705" s="3">
        <v>32.4</v>
      </c>
      <c r="J705" s="3">
        <v>30.48</v>
      </c>
      <c r="K705" s="5">
        <f t="shared" si="71"/>
        <v>321</v>
      </c>
      <c r="L705">
        <v>321</v>
      </c>
      <c r="M705" t="s">
        <v>793</v>
      </c>
      <c r="N705">
        <f t="shared" si="70"/>
        <v>11</v>
      </c>
      <c r="O705" t="str">
        <f t="shared" si="72"/>
        <v>Valid</v>
      </c>
      <c r="P705" s="1" t="str">
        <f>IF(N705&gt;=(VLOOKUP(B705,Lembar2!$B$19:$C$24,2,FALSE)+7),"Delayed","Ontime")</f>
        <v>Ontime</v>
      </c>
      <c r="Q705" s="3">
        <f t="shared" si="73"/>
        <v>63860.399999999994</v>
      </c>
      <c r="R705" s="3">
        <f t="shared" si="74"/>
        <v>60076.08</v>
      </c>
      <c r="S705" s="3">
        <f t="shared" si="75"/>
        <v>3784.3199999999924</v>
      </c>
      <c r="T705">
        <f t="shared" si="76"/>
        <v>1</v>
      </c>
    </row>
    <row r="706" spans="1:20" x14ac:dyDescent="0.25">
      <c r="A706" t="s">
        <v>1509</v>
      </c>
      <c r="B706" t="s">
        <v>795</v>
      </c>
      <c r="C706" s="1">
        <v>44692</v>
      </c>
      <c r="D706" s="1">
        <f>IF(E706="",C706+VLOOKUP(B706,Lembar2!$B$19:$C$24,2,FALSE),'Procurement Dataset'!E706)</f>
        <v>44703</v>
      </c>
      <c r="F706" t="s">
        <v>804</v>
      </c>
      <c r="G706" t="s">
        <v>813</v>
      </c>
      <c r="H706" s="5">
        <v>1326</v>
      </c>
      <c r="I706" s="3">
        <v>59.49</v>
      </c>
      <c r="J706" s="3">
        <v>56.21</v>
      </c>
      <c r="K706" s="5">
        <f t="shared" si="71"/>
        <v>0</v>
      </c>
      <c r="M706" t="s">
        <v>793</v>
      </c>
      <c r="N706" t="str">
        <f t="shared" ref="N706:N769" si="77">IF(E706 = "", "", E706-C706)</f>
        <v/>
      </c>
      <c r="O706" t="str">
        <f t="shared" si="72"/>
        <v>Valid</v>
      </c>
      <c r="P706" s="1" t="str">
        <f>IF(N706&gt;=(VLOOKUP(B706,Lembar2!$B$19:$C$24,2,FALSE)+7),"Delayed","Ontime")</f>
        <v>Delayed</v>
      </c>
      <c r="Q706" s="3">
        <f t="shared" si="73"/>
        <v>78883.740000000005</v>
      </c>
      <c r="R706" s="3">
        <f t="shared" si="74"/>
        <v>74534.460000000006</v>
      </c>
      <c r="S706" s="3">
        <f t="shared" si="75"/>
        <v>4349.2799999999988</v>
      </c>
      <c r="T706">
        <f t="shared" si="76"/>
        <v>0</v>
      </c>
    </row>
    <row r="707" spans="1:20" x14ac:dyDescent="0.25">
      <c r="A707" t="s">
        <v>1510</v>
      </c>
      <c r="B707" t="s">
        <v>795</v>
      </c>
      <c r="C707" s="1">
        <v>45199</v>
      </c>
      <c r="D707" s="1">
        <f>IF(E707="",C707+VLOOKUP(B707,Lembar2!$B$19:$C$24,2,FALSE),'Procurement Dataset'!E707)</f>
        <v>45212</v>
      </c>
      <c r="E707" s="1">
        <v>45212</v>
      </c>
      <c r="F707" t="s">
        <v>799</v>
      </c>
      <c r="G707" t="s">
        <v>792</v>
      </c>
      <c r="H707" s="5">
        <v>548</v>
      </c>
      <c r="I707" s="3">
        <v>69.7</v>
      </c>
      <c r="J707" s="3">
        <v>61.87</v>
      </c>
      <c r="K707" s="5">
        <f t="shared" ref="K707:K770" si="78">IF(L707="", 0, L707)</f>
        <v>90</v>
      </c>
      <c r="L707">
        <v>90</v>
      </c>
      <c r="M707" t="s">
        <v>793</v>
      </c>
      <c r="N707">
        <f t="shared" si="77"/>
        <v>13</v>
      </c>
      <c r="O707" t="str">
        <f t="shared" ref="O707:O770" si="79">IF(D707&lt;C707,"Invalid","Valid")</f>
        <v>Valid</v>
      </c>
      <c r="P707" s="1" t="str">
        <f>IF(N707&gt;=(VLOOKUP(B707,Lembar2!$B$19:$C$24,2,FALSE)+7),"Delayed","Ontime")</f>
        <v>Ontime</v>
      </c>
      <c r="Q707" s="3">
        <f t="shared" ref="Q707:Q770" si="80">H707*I707</f>
        <v>38195.599999999999</v>
      </c>
      <c r="R707" s="3">
        <f t="shared" ref="R707:R770" si="81">H707*J707</f>
        <v>33904.76</v>
      </c>
      <c r="S707" s="3">
        <f t="shared" ref="S707:S770" si="82">Q707-R707</f>
        <v>4290.8399999999965</v>
      </c>
      <c r="T707">
        <f t="shared" ref="T707:T770" si="83">IF(P707="Ontime",1,0)</f>
        <v>1</v>
      </c>
    </row>
    <row r="708" spans="1:20" x14ac:dyDescent="0.25">
      <c r="A708" t="s">
        <v>1511</v>
      </c>
      <c r="B708" t="s">
        <v>801</v>
      </c>
      <c r="C708" s="1">
        <v>45108</v>
      </c>
      <c r="D708" s="1">
        <f>IF(E708="",C708+VLOOKUP(B708,Lembar2!$B$19:$C$24,2,FALSE),'Procurement Dataset'!E708)</f>
        <v>45114</v>
      </c>
      <c r="E708" s="1">
        <v>45114</v>
      </c>
      <c r="F708" t="s">
        <v>799</v>
      </c>
      <c r="G708" t="s">
        <v>796</v>
      </c>
      <c r="H708" s="5">
        <v>803</v>
      </c>
      <c r="I708" s="3">
        <v>67.81</v>
      </c>
      <c r="J708" s="3">
        <v>61.53</v>
      </c>
      <c r="K708" s="5">
        <f t="shared" si="78"/>
        <v>78</v>
      </c>
      <c r="L708">
        <v>78</v>
      </c>
      <c r="M708" t="s">
        <v>793</v>
      </c>
      <c r="N708">
        <f t="shared" si="77"/>
        <v>6</v>
      </c>
      <c r="O708" t="str">
        <f t="shared" si="79"/>
        <v>Valid</v>
      </c>
      <c r="P708" s="1" t="str">
        <f>IF(N708&gt;=(VLOOKUP(B708,Lembar2!$B$19:$C$24,2,FALSE)+7),"Delayed","Ontime")</f>
        <v>Ontime</v>
      </c>
      <c r="Q708" s="3">
        <f t="shared" si="80"/>
        <v>54451.43</v>
      </c>
      <c r="R708" s="3">
        <f t="shared" si="81"/>
        <v>49408.590000000004</v>
      </c>
      <c r="S708" s="3">
        <f t="shared" si="82"/>
        <v>5042.8399999999965</v>
      </c>
      <c r="T708">
        <f t="shared" si="83"/>
        <v>1</v>
      </c>
    </row>
    <row r="709" spans="1:20" x14ac:dyDescent="0.25">
      <c r="A709" t="s">
        <v>1512</v>
      </c>
      <c r="B709" t="s">
        <v>790</v>
      </c>
      <c r="C709" s="1">
        <v>44589</v>
      </c>
      <c r="D709" s="1">
        <f>IF(E709="",C709+VLOOKUP(B709,Lembar2!$B$19:$C$24,2,FALSE),'Procurement Dataset'!E709)</f>
        <v>44607</v>
      </c>
      <c r="E709" s="1">
        <v>44607</v>
      </c>
      <c r="F709" t="s">
        <v>799</v>
      </c>
      <c r="G709" t="s">
        <v>796</v>
      </c>
      <c r="H709" s="5">
        <v>84</v>
      </c>
      <c r="I709" s="3">
        <v>18.23</v>
      </c>
      <c r="J709" s="3">
        <v>15.55</v>
      </c>
      <c r="K709" s="5">
        <f t="shared" si="78"/>
        <v>0</v>
      </c>
      <c r="L709">
        <v>0</v>
      </c>
      <c r="M709" t="s">
        <v>793</v>
      </c>
      <c r="N709">
        <f t="shared" si="77"/>
        <v>18</v>
      </c>
      <c r="O709" t="str">
        <f t="shared" si="79"/>
        <v>Valid</v>
      </c>
      <c r="P709" s="1" t="str">
        <f>IF(N709&gt;=(VLOOKUP(B709,Lembar2!$B$19:$C$24,2,FALSE)+7),"Delayed","Ontime")</f>
        <v>Delayed</v>
      </c>
      <c r="Q709" s="3">
        <f t="shared" si="80"/>
        <v>1531.32</v>
      </c>
      <c r="R709" s="3">
        <f t="shared" si="81"/>
        <v>1306.2</v>
      </c>
      <c r="S709" s="3">
        <f t="shared" si="82"/>
        <v>225.11999999999989</v>
      </c>
      <c r="T709">
        <f t="shared" si="83"/>
        <v>0</v>
      </c>
    </row>
    <row r="710" spans="1:20" x14ac:dyDescent="0.25">
      <c r="A710" t="s">
        <v>1513</v>
      </c>
      <c r="B710" t="s">
        <v>807</v>
      </c>
      <c r="C710" s="1">
        <v>44965</v>
      </c>
      <c r="D710" s="1">
        <f>IF(E710="",C710+VLOOKUP(B710,Lembar2!$B$19:$C$24,2,FALSE),'Procurement Dataset'!E710)</f>
        <v>44977</v>
      </c>
      <c r="E710" s="1">
        <v>44977</v>
      </c>
      <c r="F710" t="s">
        <v>802</v>
      </c>
      <c r="G710" t="s">
        <v>796</v>
      </c>
      <c r="H710" s="5">
        <v>776</v>
      </c>
      <c r="I710" s="3">
        <v>94.75</v>
      </c>
      <c r="J710" s="3">
        <v>90.89</v>
      </c>
      <c r="K710" s="5">
        <f t="shared" si="78"/>
        <v>19</v>
      </c>
      <c r="L710">
        <v>19</v>
      </c>
      <c r="M710" t="s">
        <v>793</v>
      </c>
      <c r="N710">
        <f t="shared" si="77"/>
        <v>12</v>
      </c>
      <c r="O710" t="str">
        <f t="shared" si="79"/>
        <v>Valid</v>
      </c>
      <c r="P710" s="1" t="str">
        <f>IF(N710&gt;=(VLOOKUP(B710,Lembar2!$B$19:$C$24,2,FALSE)+7),"Delayed","Ontime")</f>
        <v>Ontime</v>
      </c>
      <c r="Q710" s="3">
        <f t="shared" si="80"/>
        <v>73526</v>
      </c>
      <c r="R710" s="3">
        <f t="shared" si="81"/>
        <v>70530.64</v>
      </c>
      <c r="S710" s="3">
        <f t="shared" si="82"/>
        <v>2995.3600000000006</v>
      </c>
      <c r="T710">
        <f t="shared" si="83"/>
        <v>1</v>
      </c>
    </row>
    <row r="711" spans="1:20" x14ac:dyDescent="0.25">
      <c r="A711" t="s">
        <v>1514</v>
      </c>
      <c r="B711" t="s">
        <v>790</v>
      </c>
      <c r="C711" s="1">
        <v>45168</v>
      </c>
      <c r="D711" s="1">
        <f>IF(E711="",C711+VLOOKUP(B711,Lembar2!$B$19:$C$24,2,FALSE),'Procurement Dataset'!E711)</f>
        <v>45177</v>
      </c>
      <c r="E711" s="1">
        <v>45177</v>
      </c>
      <c r="F711" t="s">
        <v>799</v>
      </c>
      <c r="G711" t="s">
        <v>796</v>
      </c>
      <c r="H711" s="5">
        <v>898</v>
      </c>
      <c r="I711" s="3">
        <v>37.119999999999997</v>
      </c>
      <c r="J711" s="3">
        <v>35.54</v>
      </c>
      <c r="K711" s="5">
        <f t="shared" si="78"/>
        <v>18</v>
      </c>
      <c r="L711">
        <v>18</v>
      </c>
      <c r="M711" t="s">
        <v>805</v>
      </c>
      <c r="N711">
        <f t="shared" si="77"/>
        <v>9</v>
      </c>
      <c r="O711" t="str">
        <f t="shared" si="79"/>
        <v>Valid</v>
      </c>
      <c r="P711" s="1" t="str">
        <f>IF(N711&gt;=(VLOOKUP(B711,Lembar2!$B$19:$C$24,2,FALSE)+7),"Delayed","Ontime")</f>
        <v>Ontime</v>
      </c>
      <c r="Q711" s="3">
        <f t="shared" si="80"/>
        <v>33333.759999999995</v>
      </c>
      <c r="R711" s="3">
        <f t="shared" si="81"/>
        <v>31914.92</v>
      </c>
      <c r="S711" s="3">
        <f t="shared" si="82"/>
        <v>1418.8399999999965</v>
      </c>
      <c r="T711">
        <f t="shared" si="83"/>
        <v>1</v>
      </c>
    </row>
    <row r="712" spans="1:20" x14ac:dyDescent="0.25">
      <c r="A712" t="s">
        <v>1515</v>
      </c>
      <c r="B712" t="s">
        <v>801</v>
      </c>
      <c r="C712" s="1">
        <v>45139</v>
      </c>
      <c r="D712" s="1">
        <f>IF(E712="",C712+VLOOKUP(B712,Lembar2!$B$19:$C$24,2,FALSE),'Procurement Dataset'!E712)</f>
        <v>45146</v>
      </c>
      <c r="E712" s="1">
        <v>45146</v>
      </c>
      <c r="F712" t="s">
        <v>791</v>
      </c>
      <c r="G712" t="s">
        <v>792</v>
      </c>
      <c r="H712" s="5">
        <v>139</v>
      </c>
      <c r="I712" s="3">
        <v>23.71</v>
      </c>
      <c r="J712" s="3">
        <v>20.18</v>
      </c>
      <c r="K712" s="5">
        <f t="shared" si="78"/>
        <v>14</v>
      </c>
      <c r="L712">
        <v>14</v>
      </c>
      <c r="M712" t="s">
        <v>793</v>
      </c>
      <c r="N712">
        <f t="shared" si="77"/>
        <v>7</v>
      </c>
      <c r="O712" t="str">
        <f t="shared" si="79"/>
        <v>Valid</v>
      </c>
      <c r="P712" s="1" t="str">
        <f>IF(N712&gt;=(VLOOKUP(B712,Lembar2!$B$19:$C$24,2,FALSE)+7),"Delayed","Ontime")</f>
        <v>Ontime</v>
      </c>
      <c r="Q712" s="3">
        <f t="shared" si="80"/>
        <v>3295.69</v>
      </c>
      <c r="R712" s="3">
        <f t="shared" si="81"/>
        <v>2805.02</v>
      </c>
      <c r="S712" s="3">
        <f t="shared" si="82"/>
        <v>490.67000000000007</v>
      </c>
      <c r="T712">
        <f t="shared" si="83"/>
        <v>1</v>
      </c>
    </row>
    <row r="713" spans="1:20" x14ac:dyDescent="0.25">
      <c r="A713" t="s">
        <v>1516</v>
      </c>
      <c r="B713" t="s">
        <v>798</v>
      </c>
      <c r="C713" s="1">
        <v>45240</v>
      </c>
      <c r="D713" s="1">
        <f>IF(E713="",C713+VLOOKUP(B713,Lembar2!$B$19:$C$24,2,FALSE),'Procurement Dataset'!E713)</f>
        <v>45250</v>
      </c>
      <c r="F713" t="s">
        <v>804</v>
      </c>
      <c r="G713" t="s">
        <v>796</v>
      </c>
      <c r="H713" s="5">
        <v>825</v>
      </c>
      <c r="I713" s="3">
        <v>99.89</v>
      </c>
      <c r="J713" s="3">
        <v>97.65</v>
      </c>
      <c r="K713" s="5">
        <f t="shared" si="78"/>
        <v>30</v>
      </c>
      <c r="L713">
        <v>30</v>
      </c>
      <c r="M713" t="s">
        <v>793</v>
      </c>
      <c r="N713" t="str">
        <f t="shared" si="77"/>
        <v/>
      </c>
      <c r="O713" t="str">
        <f t="shared" si="79"/>
        <v>Valid</v>
      </c>
      <c r="P713" s="1" t="str">
        <f>IF(N713&gt;=(VLOOKUP(B713,Lembar2!$B$19:$C$24,2,FALSE)+7),"Delayed","Ontime")</f>
        <v>Delayed</v>
      </c>
      <c r="Q713" s="3">
        <f t="shared" si="80"/>
        <v>82409.25</v>
      </c>
      <c r="R713" s="3">
        <f t="shared" si="81"/>
        <v>80561.25</v>
      </c>
      <c r="S713" s="3">
        <f t="shared" si="82"/>
        <v>1848</v>
      </c>
      <c r="T713">
        <f t="shared" si="83"/>
        <v>0</v>
      </c>
    </row>
    <row r="714" spans="1:20" x14ac:dyDescent="0.25">
      <c r="A714" t="s">
        <v>1517</v>
      </c>
      <c r="B714" t="s">
        <v>790</v>
      </c>
      <c r="C714" s="1">
        <v>44589</v>
      </c>
      <c r="D714" s="1">
        <f>IF(E714="",C714+VLOOKUP(B714,Lembar2!$B$19:$C$24,2,FALSE),'Procurement Dataset'!E714)</f>
        <v>44599</v>
      </c>
      <c r="E714" s="1">
        <v>44599</v>
      </c>
      <c r="F714" t="s">
        <v>799</v>
      </c>
      <c r="G714" t="s">
        <v>796</v>
      </c>
      <c r="H714" s="5">
        <v>654</v>
      </c>
      <c r="I714" s="3">
        <v>96.01</v>
      </c>
      <c r="J714" s="3">
        <v>90.31</v>
      </c>
      <c r="K714" s="5">
        <f t="shared" si="78"/>
        <v>10</v>
      </c>
      <c r="L714">
        <v>10</v>
      </c>
      <c r="M714" t="s">
        <v>793</v>
      </c>
      <c r="N714">
        <f t="shared" si="77"/>
        <v>10</v>
      </c>
      <c r="O714" t="str">
        <f t="shared" si="79"/>
        <v>Valid</v>
      </c>
      <c r="P714" s="1" t="str">
        <f>IF(N714&gt;=(VLOOKUP(B714,Lembar2!$B$19:$C$24,2,FALSE)+7),"Delayed","Ontime")</f>
        <v>Ontime</v>
      </c>
      <c r="Q714" s="3">
        <f t="shared" si="80"/>
        <v>62790.54</v>
      </c>
      <c r="R714" s="3">
        <f t="shared" si="81"/>
        <v>59062.74</v>
      </c>
      <c r="S714" s="3">
        <f t="shared" si="82"/>
        <v>3727.8000000000029</v>
      </c>
      <c r="T714">
        <f t="shared" si="83"/>
        <v>1</v>
      </c>
    </row>
    <row r="715" spans="1:20" x14ac:dyDescent="0.25">
      <c r="A715" t="s">
        <v>1518</v>
      </c>
      <c r="B715" t="s">
        <v>798</v>
      </c>
      <c r="C715" s="1">
        <v>44647</v>
      </c>
      <c r="D715" s="1">
        <f>IF(E715="",C715+VLOOKUP(B715,Lembar2!$B$19:$C$24,2,FALSE),'Procurement Dataset'!E715)</f>
        <v>44657</v>
      </c>
      <c r="E715" s="1">
        <v>44657</v>
      </c>
      <c r="F715" t="s">
        <v>799</v>
      </c>
      <c r="G715" t="s">
        <v>796</v>
      </c>
      <c r="H715" s="5">
        <v>1995</v>
      </c>
      <c r="I715" s="3">
        <v>88.47</v>
      </c>
      <c r="J715" s="3">
        <v>82.65</v>
      </c>
      <c r="K715" s="5">
        <f t="shared" si="78"/>
        <v>87</v>
      </c>
      <c r="L715">
        <v>87</v>
      </c>
      <c r="M715" t="s">
        <v>805</v>
      </c>
      <c r="N715">
        <f t="shared" si="77"/>
        <v>10</v>
      </c>
      <c r="O715" t="str">
        <f t="shared" si="79"/>
        <v>Valid</v>
      </c>
      <c r="P715" s="1" t="str">
        <f>IF(N715&gt;=(VLOOKUP(B715,Lembar2!$B$19:$C$24,2,FALSE)+7),"Delayed","Ontime")</f>
        <v>Ontime</v>
      </c>
      <c r="Q715" s="3">
        <f t="shared" si="80"/>
        <v>176497.65</v>
      </c>
      <c r="R715" s="3">
        <f t="shared" si="81"/>
        <v>164886.75</v>
      </c>
      <c r="S715" s="3">
        <f t="shared" si="82"/>
        <v>11610.899999999994</v>
      </c>
      <c r="T715">
        <f t="shared" si="83"/>
        <v>1</v>
      </c>
    </row>
    <row r="716" spans="1:20" x14ac:dyDescent="0.25">
      <c r="A716" t="s">
        <v>1519</v>
      </c>
      <c r="B716" t="s">
        <v>801</v>
      </c>
      <c r="C716" s="1">
        <v>45220</v>
      </c>
      <c r="D716" s="1">
        <f>IF(E716="",C716+VLOOKUP(B716,Lembar2!$B$19:$C$24,2,FALSE),'Procurement Dataset'!E716)</f>
        <v>45227</v>
      </c>
      <c r="E716" s="1">
        <v>45227</v>
      </c>
      <c r="F716" t="s">
        <v>799</v>
      </c>
      <c r="G716" t="s">
        <v>796</v>
      </c>
      <c r="H716" s="5">
        <v>1019</v>
      </c>
      <c r="I716" s="3">
        <v>91.56</v>
      </c>
      <c r="J716" s="3">
        <v>77.930000000000007</v>
      </c>
      <c r="K716" s="5">
        <f t="shared" si="78"/>
        <v>111</v>
      </c>
      <c r="L716">
        <v>111</v>
      </c>
      <c r="M716" t="s">
        <v>805</v>
      </c>
      <c r="N716">
        <f t="shared" si="77"/>
        <v>7</v>
      </c>
      <c r="O716" t="str">
        <f t="shared" si="79"/>
        <v>Valid</v>
      </c>
      <c r="P716" s="1" t="str">
        <f>IF(N716&gt;=(VLOOKUP(B716,Lembar2!$B$19:$C$24,2,FALSE)+7),"Delayed","Ontime")</f>
        <v>Ontime</v>
      </c>
      <c r="Q716" s="3">
        <f t="shared" si="80"/>
        <v>93299.64</v>
      </c>
      <c r="R716" s="3">
        <f t="shared" si="81"/>
        <v>79410.670000000013</v>
      </c>
      <c r="S716" s="3">
        <f t="shared" si="82"/>
        <v>13888.969999999987</v>
      </c>
      <c r="T716">
        <f t="shared" si="83"/>
        <v>1</v>
      </c>
    </row>
    <row r="717" spans="1:20" x14ac:dyDescent="0.25">
      <c r="A717" t="s">
        <v>1520</v>
      </c>
      <c r="B717" t="s">
        <v>807</v>
      </c>
      <c r="C717" s="1">
        <v>45000</v>
      </c>
      <c r="D717" s="1">
        <f>IF(E717="",C717+VLOOKUP(B717,Lembar2!$B$19:$C$24,2,FALSE),'Procurement Dataset'!E717)</f>
        <v>45016</v>
      </c>
      <c r="E717" s="1">
        <v>45016</v>
      </c>
      <c r="F717" t="s">
        <v>802</v>
      </c>
      <c r="G717" t="s">
        <v>813</v>
      </c>
      <c r="H717" s="5">
        <v>1675</v>
      </c>
      <c r="I717" s="3">
        <v>73.8</v>
      </c>
      <c r="J717" s="3">
        <v>65.34</v>
      </c>
      <c r="K717" s="5">
        <f t="shared" si="78"/>
        <v>42</v>
      </c>
      <c r="L717">
        <v>42</v>
      </c>
      <c r="M717" t="s">
        <v>793</v>
      </c>
      <c r="N717">
        <f t="shared" si="77"/>
        <v>16</v>
      </c>
      <c r="O717" t="str">
        <f t="shared" si="79"/>
        <v>Valid</v>
      </c>
      <c r="P717" s="1" t="str">
        <f>IF(N717&gt;=(VLOOKUP(B717,Lembar2!$B$19:$C$24,2,FALSE)+7),"Delayed","Ontime")</f>
        <v>Ontime</v>
      </c>
      <c r="Q717" s="3">
        <f t="shared" si="80"/>
        <v>123615</v>
      </c>
      <c r="R717" s="3">
        <f t="shared" si="81"/>
        <v>109444.5</v>
      </c>
      <c r="S717" s="3">
        <f t="shared" si="82"/>
        <v>14170.5</v>
      </c>
      <c r="T717">
        <f t="shared" si="83"/>
        <v>1</v>
      </c>
    </row>
    <row r="718" spans="1:20" x14ac:dyDescent="0.25">
      <c r="A718" t="s">
        <v>1521</v>
      </c>
      <c r="B718" t="s">
        <v>798</v>
      </c>
      <c r="C718" s="1">
        <v>44700</v>
      </c>
      <c r="D718" s="1">
        <f>IF(E718="",C718+VLOOKUP(B718,Lembar2!$B$19:$C$24,2,FALSE),'Procurement Dataset'!E718)</f>
        <v>44712</v>
      </c>
      <c r="E718" s="1">
        <v>44712</v>
      </c>
      <c r="F718" t="s">
        <v>804</v>
      </c>
      <c r="G718" t="s">
        <v>813</v>
      </c>
      <c r="H718" s="5">
        <v>1071</v>
      </c>
      <c r="I718" s="3">
        <v>60.77</v>
      </c>
      <c r="J718" s="3">
        <v>58.5</v>
      </c>
      <c r="K718" s="5">
        <f t="shared" si="78"/>
        <v>0</v>
      </c>
      <c r="M718" t="s">
        <v>793</v>
      </c>
      <c r="N718">
        <f t="shared" si="77"/>
        <v>12</v>
      </c>
      <c r="O718" t="str">
        <f t="shared" si="79"/>
        <v>Valid</v>
      </c>
      <c r="P718" s="1" t="str">
        <f>IF(N718&gt;=(VLOOKUP(B718,Lembar2!$B$19:$C$24,2,FALSE)+7),"Delayed","Ontime")</f>
        <v>Ontime</v>
      </c>
      <c r="Q718" s="3">
        <f t="shared" si="80"/>
        <v>65084.670000000006</v>
      </c>
      <c r="R718" s="3">
        <f t="shared" si="81"/>
        <v>62653.5</v>
      </c>
      <c r="S718" s="3">
        <f t="shared" si="82"/>
        <v>2431.1700000000055</v>
      </c>
      <c r="T718">
        <f t="shared" si="83"/>
        <v>1</v>
      </c>
    </row>
    <row r="719" spans="1:20" x14ac:dyDescent="0.25">
      <c r="A719" t="s">
        <v>1522</v>
      </c>
      <c r="B719" t="s">
        <v>801</v>
      </c>
      <c r="C719" s="1">
        <v>45034</v>
      </c>
      <c r="D719" s="1">
        <f>IF(E719="",C719+VLOOKUP(B719,Lembar2!$B$19:$C$24,2,FALSE),'Procurement Dataset'!E719)</f>
        <v>45043</v>
      </c>
      <c r="E719" s="1">
        <v>45043</v>
      </c>
      <c r="F719" t="s">
        <v>791</v>
      </c>
      <c r="G719" t="s">
        <v>796</v>
      </c>
      <c r="H719" s="5">
        <v>467</v>
      </c>
      <c r="I719" s="3">
        <v>19.170000000000002</v>
      </c>
      <c r="J719" s="3">
        <v>17.11</v>
      </c>
      <c r="K719" s="5">
        <f t="shared" si="78"/>
        <v>49</v>
      </c>
      <c r="L719">
        <v>49</v>
      </c>
      <c r="M719" t="s">
        <v>793</v>
      </c>
      <c r="N719">
        <f t="shared" si="77"/>
        <v>9</v>
      </c>
      <c r="O719" t="str">
        <f t="shared" si="79"/>
        <v>Valid</v>
      </c>
      <c r="P719" s="1" t="str">
        <f>IF(N719&gt;=(VLOOKUP(B719,Lembar2!$B$19:$C$24,2,FALSE)+7),"Delayed","Ontime")</f>
        <v>Ontime</v>
      </c>
      <c r="Q719" s="3">
        <f t="shared" si="80"/>
        <v>8952.3900000000012</v>
      </c>
      <c r="R719" s="3">
        <f t="shared" si="81"/>
        <v>7990.37</v>
      </c>
      <c r="S719" s="3">
        <f t="shared" si="82"/>
        <v>962.02000000000135</v>
      </c>
      <c r="T719">
        <f t="shared" si="83"/>
        <v>1</v>
      </c>
    </row>
    <row r="720" spans="1:20" x14ac:dyDescent="0.25">
      <c r="A720" t="s">
        <v>1523</v>
      </c>
      <c r="B720" t="s">
        <v>795</v>
      </c>
      <c r="C720" s="1">
        <v>44748</v>
      </c>
      <c r="D720" s="1">
        <f>IF(E720="",C720+VLOOKUP(B720,Lembar2!$B$19:$C$24,2,FALSE),'Procurement Dataset'!E720)</f>
        <v>44767</v>
      </c>
      <c r="E720" s="1">
        <v>44767</v>
      </c>
      <c r="F720" t="s">
        <v>799</v>
      </c>
      <c r="G720" t="s">
        <v>813</v>
      </c>
      <c r="H720" s="5">
        <v>164</v>
      </c>
      <c r="I720" s="3">
        <v>48.16</v>
      </c>
      <c r="J720" s="3">
        <v>47.46</v>
      </c>
      <c r="K720" s="5">
        <f t="shared" si="78"/>
        <v>27</v>
      </c>
      <c r="L720">
        <v>27</v>
      </c>
      <c r="M720" t="s">
        <v>793</v>
      </c>
      <c r="N720">
        <f t="shared" si="77"/>
        <v>19</v>
      </c>
      <c r="O720" t="str">
        <f t="shared" si="79"/>
        <v>Valid</v>
      </c>
      <c r="P720" s="1" t="str">
        <f>IF(N720&gt;=(VLOOKUP(B720,Lembar2!$B$19:$C$24,2,FALSE)+7),"Delayed","Ontime")</f>
        <v>Delayed</v>
      </c>
      <c r="Q720" s="3">
        <f t="shared" si="80"/>
        <v>7898.24</v>
      </c>
      <c r="R720" s="3">
        <f t="shared" si="81"/>
        <v>7783.4400000000005</v>
      </c>
      <c r="S720" s="3">
        <f t="shared" si="82"/>
        <v>114.79999999999927</v>
      </c>
      <c r="T720">
        <f t="shared" si="83"/>
        <v>0</v>
      </c>
    </row>
    <row r="721" spans="1:20" x14ac:dyDescent="0.25">
      <c r="A721" t="s">
        <v>1524</v>
      </c>
      <c r="B721" t="s">
        <v>807</v>
      </c>
      <c r="C721" s="1">
        <v>44613</v>
      </c>
      <c r="D721" s="1">
        <f>IF(E721="",C721+VLOOKUP(B721,Lembar2!$B$19:$C$24,2,FALSE),'Procurement Dataset'!E721)</f>
        <v>44626</v>
      </c>
      <c r="E721" s="1">
        <v>44626</v>
      </c>
      <c r="F721" t="s">
        <v>817</v>
      </c>
      <c r="G721" t="s">
        <v>792</v>
      </c>
      <c r="H721" s="5">
        <v>666</v>
      </c>
      <c r="I721" s="3">
        <v>43.76</v>
      </c>
      <c r="J721" s="3">
        <v>41.13</v>
      </c>
      <c r="K721" s="5">
        <f t="shared" si="78"/>
        <v>18</v>
      </c>
      <c r="L721">
        <v>18</v>
      </c>
      <c r="M721" t="s">
        <v>793</v>
      </c>
      <c r="N721">
        <f t="shared" si="77"/>
        <v>13</v>
      </c>
      <c r="O721" t="str">
        <f t="shared" si="79"/>
        <v>Valid</v>
      </c>
      <c r="P721" s="1" t="str">
        <f>IF(N721&gt;=(VLOOKUP(B721,Lembar2!$B$19:$C$24,2,FALSE)+7),"Delayed","Ontime")</f>
        <v>Ontime</v>
      </c>
      <c r="Q721" s="3">
        <f t="shared" si="80"/>
        <v>29144.16</v>
      </c>
      <c r="R721" s="3">
        <f t="shared" si="81"/>
        <v>27392.58</v>
      </c>
      <c r="S721" s="3">
        <f t="shared" si="82"/>
        <v>1751.5799999999981</v>
      </c>
      <c r="T721">
        <f t="shared" si="83"/>
        <v>1</v>
      </c>
    </row>
    <row r="722" spans="1:20" x14ac:dyDescent="0.25">
      <c r="A722" t="s">
        <v>1525</v>
      </c>
      <c r="B722" t="s">
        <v>795</v>
      </c>
      <c r="C722" s="1">
        <v>44828</v>
      </c>
      <c r="D722" s="1">
        <f>IF(E722="",C722+VLOOKUP(B722,Lembar2!$B$19:$C$24,2,FALSE),'Procurement Dataset'!E722)</f>
        <v>44841</v>
      </c>
      <c r="E722" s="1">
        <v>44841</v>
      </c>
      <c r="F722" t="s">
        <v>802</v>
      </c>
      <c r="G722" t="s">
        <v>811</v>
      </c>
      <c r="H722" s="5">
        <v>1976</v>
      </c>
      <c r="I722" s="3">
        <v>34.71</v>
      </c>
      <c r="J722" s="3">
        <v>31.56</v>
      </c>
      <c r="K722" s="5">
        <f t="shared" si="78"/>
        <v>286</v>
      </c>
      <c r="L722">
        <v>286</v>
      </c>
      <c r="M722" t="s">
        <v>805</v>
      </c>
      <c r="N722">
        <f t="shared" si="77"/>
        <v>13</v>
      </c>
      <c r="O722" t="str">
        <f t="shared" si="79"/>
        <v>Valid</v>
      </c>
      <c r="P722" s="1" t="str">
        <f>IF(N722&gt;=(VLOOKUP(B722,Lembar2!$B$19:$C$24,2,FALSE)+7),"Delayed","Ontime")</f>
        <v>Ontime</v>
      </c>
      <c r="Q722" s="3">
        <f t="shared" si="80"/>
        <v>68586.960000000006</v>
      </c>
      <c r="R722" s="3">
        <f t="shared" si="81"/>
        <v>62362.559999999998</v>
      </c>
      <c r="S722" s="3">
        <f t="shared" si="82"/>
        <v>6224.4000000000087</v>
      </c>
      <c r="T722">
        <f t="shared" si="83"/>
        <v>1</v>
      </c>
    </row>
    <row r="723" spans="1:20" x14ac:dyDescent="0.25">
      <c r="A723" t="s">
        <v>1526</v>
      </c>
      <c r="B723" t="s">
        <v>807</v>
      </c>
      <c r="C723" s="1">
        <v>44950</v>
      </c>
      <c r="D723" s="1">
        <f>IF(E723="",C723+VLOOKUP(B723,Lembar2!$B$19:$C$24,2,FALSE),'Procurement Dataset'!E723)</f>
        <v>44955</v>
      </c>
      <c r="E723" s="1">
        <v>44955</v>
      </c>
      <c r="F723" t="s">
        <v>799</v>
      </c>
      <c r="G723" t="s">
        <v>796</v>
      </c>
      <c r="H723" s="5">
        <v>1269</v>
      </c>
      <c r="I723" s="3">
        <v>79.61</v>
      </c>
      <c r="J723" s="3">
        <v>71.86</v>
      </c>
      <c r="K723" s="5">
        <f t="shared" si="78"/>
        <v>47</v>
      </c>
      <c r="L723">
        <v>47</v>
      </c>
      <c r="M723" t="s">
        <v>793</v>
      </c>
      <c r="N723">
        <f t="shared" si="77"/>
        <v>5</v>
      </c>
      <c r="O723" t="str">
        <f t="shared" si="79"/>
        <v>Valid</v>
      </c>
      <c r="P723" s="1" t="str">
        <f>IF(N723&gt;=(VLOOKUP(B723,Lembar2!$B$19:$C$24,2,FALSE)+7),"Delayed","Ontime")</f>
        <v>Ontime</v>
      </c>
      <c r="Q723" s="3">
        <f t="shared" si="80"/>
        <v>101025.09</v>
      </c>
      <c r="R723" s="3">
        <f t="shared" si="81"/>
        <v>91190.34</v>
      </c>
      <c r="S723" s="3">
        <f t="shared" si="82"/>
        <v>9834.75</v>
      </c>
      <c r="T723">
        <f t="shared" si="83"/>
        <v>1</v>
      </c>
    </row>
    <row r="724" spans="1:20" x14ac:dyDescent="0.25">
      <c r="A724" t="s">
        <v>1527</v>
      </c>
      <c r="B724" t="s">
        <v>807</v>
      </c>
      <c r="C724" s="1">
        <v>44897</v>
      </c>
      <c r="D724" s="1">
        <f>IF(E724="",C724+VLOOKUP(B724,Lembar2!$B$19:$C$24,2,FALSE),'Procurement Dataset'!E724)</f>
        <v>44907</v>
      </c>
      <c r="E724" s="1">
        <v>44907</v>
      </c>
      <c r="F724" t="s">
        <v>799</v>
      </c>
      <c r="G724" t="s">
        <v>796</v>
      </c>
      <c r="H724" s="5">
        <v>875</v>
      </c>
      <c r="I724" s="3">
        <v>57.63</v>
      </c>
      <c r="J724" s="3">
        <v>51.8</v>
      </c>
      <c r="K724" s="5">
        <f t="shared" si="78"/>
        <v>16</v>
      </c>
      <c r="L724">
        <v>16</v>
      </c>
      <c r="M724" t="s">
        <v>793</v>
      </c>
      <c r="N724">
        <f t="shared" si="77"/>
        <v>10</v>
      </c>
      <c r="O724" t="str">
        <f t="shared" si="79"/>
        <v>Valid</v>
      </c>
      <c r="P724" s="1" t="str">
        <f>IF(N724&gt;=(VLOOKUP(B724,Lembar2!$B$19:$C$24,2,FALSE)+7),"Delayed","Ontime")</f>
        <v>Ontime</v>
      </c>
      <c r="Q724" s="3">
        <f t="shared" si="80"/>
        <v>50426.25</v>
      </c>
      <c r="R724" s="3">
        <f t="shared" si="81"/>
        <v>45325</v>
      </c>
      <c r="S724" s="3">
        <f t="shared" si="82"/>
        <v>5101.25</v>
      </c>
      <c r="T724">
        <f t="shared" si="83"/>
        <v>1</v>
      </c>
    </row>
    <row r="725" spans="1:20" x14ac:dyDescent="0.25">
      <c r="A725" t="s">
        <v>1528</v>
      </c>
      <c r="B725" t="s">
        <v>790</v>
      </c>
      <c r="C725" s="1">
        <v>44778</v>
      </c>
      <c r="D725" s="1">
        <f>IF(E725="",C725+VLOOKUP(B725,Lembar2!$B$19:$C$24,2,FALSE),'Procurement Dataset'!E725)</f>
        <v>44789</v>
      </c>
      <c r="F725" t="s">
        <v>802</v>
      </c>
      <c r="G725" t="s">
        <v>811</v>
      </c>
      <c r="H725" s="5">
        <v>1574</v>
      </c>
      <c r="I725" s="3">
        <v>17.899999999999999</v>
      </c>
      <c r="J725" s="3">
        <v>15.85</v>
      </c>
      <c r="K725" s="5">
        <f t="shared" si="78"/>
        <v>31</v>
      </c>
      <c r="L725">
        <v>31</v>
      </c>
      <c r="M725" t="s">
        <v>793</v>
      </c>
      <c r="N725" t="str">
        <f t="shared" si="77"/>
        <v/>
      </c>
      <c r="O725" t="str">
        <f t="shared" si="79"/>
        <v>Valid</v>
      </c>
      <c r="P725" s="1" t="str">
        <f>IF(N725&gt;=(VLOOKUP(B725,Lembar2!$B$19:$C$24,2,FALSE)+7),"Delayed","Ontime")</f>
        <v>Delayed</v>
      </c>
      <c r="Q725" s="3">
        <f t="shared" si="80"/>
        <v>28174.6</v>
      </c>
      <c r="R725" s="3">
        <f t="shared" si="81"/>
        <v>24947.899999999998</v>
      </c>
      <c r="S725" s="3">
        <f t="shared" si="82"/>
        <v>3226.7000000000007</v>
      </c>
      <c r="T725">
        <f t="shared" si="83"/>
        <v>0</v>
      </c>
    </row>
    <row r="726" spans="1:20" x14ac:dyDescent="0.25">
      <c r="A726" t="s">
        <v>1529</v>
      </c>
      <c r="B726" t="s">
        <v>807</v>
      </c>
      <c r="C726" s="1">
        <v>45027</v>
      </c>
      <c r="D726" s="1">
        <f>IF(E726="",C726+VLOOKUP(B726,Lembar2!$B$19:$C$24,2,FALSE),'Procurement Dataset'!E726)</f>
        <v>45042</v>
      </c>
      <c r="E726" s="1">
        <v>45042</v>
      </c>
      <c r="F726" t="s">
        <v>791</v>
      </c>
      <c r="G726" t="s">
        <v>811</v>
      </c>
      <c r="H726" s="5">
        <v>1699</v>
      </c>
      <c r="I726" s="3">
        <v>32.049999999999997</v>
      </c>
      <c r="J726" s="3">
        <v>29.34</v>
      </c>
      <c r="K726" s="5">
        <f t="shared" si="78"/>
        <v>69</v>
      </c>
      <c r="L726">
        <v>69</v>
      </c>
      <c r="M726" t="s">
        <v>793</v>
      </c>
      <c r="N726">
        <f t="shared" si="77"/>
        <v>15</v>
      </c>
      <c r="O726" t="str">
        <f t="shared" si="79"/>
        <v>Valid</v>
      </c>
      <c r="P726" s="1" t="str">
        <f>IF(N726&gt;=(VLOOKUP(B726,Lembar2!$B$19:$C$24,2,FALSE)+7),"Delayed","Ontime")</f>
        <v>Ontime</v>
      </c>
      <c r="Q726" s="3">
        <f t="shared" si="80"/>
        <v>54452.95</v>
      </c>
      <c r="R726" s="3">
        <f t="shared" si="81"/>
        <v>49848.659999999996</v>
      </c>
      <c r="S726" s="3">
        <f t="shared" si="82"/>
        <v>4604.2900000000009</v>
      </c>
      <c r="T726">
        <f t="shared" si="83"/>
        <v>1</v>
      </c>
    </row>
    <row r="727" spans="1:20" x14ac:dyDescent="0.25">
      <c r="A727" t="s">
        <v>1530</v>
      </c>
      <c r="B727" t="s">
        <v>790</v>
      </c>
      <c r="C727" s="1">
        <v>44896</v>
      </c>
      <c r="D727" s="1">
        <f>IF(E727="",C727+VLOOKUP(B727,Lembar2!$B$19:$C$24,2,FALSE),'Procurement Dataset'!E727)</f>
        <v>44912</v>
      </c>
      <c r="E727" s="1">
        <v>44912</v>
      </c>
      <c r="F727" t="s">
        <v>817</v>
      </c>
      <c r="G727" t="s">
        <v>796</v>
      </c>
      <c r="H727" s="5">
        <v>1566</v>
      </c>
      <c r="I727" s="3">
        <v>75.430000000000007</v>
      </c>
      <c r="J727" s="3">
        <v>71.27</v>
      </c>
      <c r="K727" s="5">
        <f t="shared" si="78"/>
        <v>27</v>
      </c>
      <c r="L727">
        <v>27</v>
      </c>
      <c r="M727" t="s">
        <v>793</v>
      </c>
      <c r="N727">
        <f t="shared" si="77"/>
        <v>16</v>
      </c>
      <c r="O727" t="str">
        <f t="shared" si="79"/>
        <v>Valid</v>
      </c>
      <c r="P727" s="1" t="str">
        <f>IF(N727&gt;=(VLOOKUP(B727,Lembar2!$B$19:$C$24,2,FALSE)+7),"Delayed","Ontime")</f>
        <v>Ontime</v>
      </c>
      <c r="Q727" s="3">
        <f t="shared" si="80"/>
        <v>118123.38</v>
      </c>
      <c r="R727" s="3">
        <f t="shared" si="81"/>
        <v>111608.81999999999</v>
      </c>
      <c r="S727" s="3">
        <f t="shared" si="82"/>
        <v>6514.5600000000122</v>
      </c>
      <c r="T727">
        <f t="shared" si="83"/>
        <v>1</v>
      </c>
    </row>
    <row r="728" spans="1:20" x14ac:dyDescent="0.25">
      <c r="A728" t="s">
        <v>1531</v>
      </c>
      <c r="B728" t="s">
        <v>798</v>
      </c>
      <c r="C728" s="1">
        <v>44907</v>
      </c>
      <c r="D728" s="1">
        <f>IF(E728="",C728+VLOOKUP(B728,Lembar2!$B$19:$C$24,2,FALSE),'Procurement Dataset'!E728)</f>
        <v>44925</v>
      </c>
      <c r="E728" s="1">
        <v>44925</v>
      </c>
      <c r="F728" t="s">
        <v>817</v>
      </c>
      <c r="G728" t="s">
        <v>796</v>
      </c>
      <c r="H728" s="5">
        <v>1148</v>
      </c>
      <c r="I728" s="3">
        <v>17.78</v>
      </c>
      <c r="J728" s="3">
        <v>17.16</v>
      </c>
      <c r="K728" s="5">
        <f t="shared" si="78"/>
        <v>61</v>
      </c>
      <c r="L728">
        <v>61</v>
      </c>
      <c r="M728" t="s">
        <v>793</v>
      </c>
      <c r="N728">
        <f t="shared" si="77"/>
        <v>18</v>
      </c>
      <c r="O728" t="str">
        <f t="shared" si="79"/>
        <v>Valid</v>
      </c>
      <c r="P728" s="1" t="str">
        <f>IF(N728&gt;=(VLOOKUP(B728,Lembar2!$B$19:$C$24,2,FALSE)+7),"Delayed","Ontime")</f>
        <v>Delayed</v>
      </c>
      <c r="Q728" s="3">
        <f t="shared" si="80"/>
        <v>20411.440000000002</v>
      </c>
      <c r="R728" s="3">
        <f t="shared" si="81"/>
        <v>19699.68</v>
      </c>
      <c r="S728" s="3">
        <f t="shared" si="82"/>
        <v>711.76000000000204</v>
      </c>
      <c r="T728">
        <f t="shared" si="83"/>
        <v>0</v>
      </c>
    </row>
    <row r="729" spans="1:20" x14ac:dyDescent="0.25">
      <c r="A729" t="s">
        <v>1532</v>
      </c>
      <c r="B729" t="s">
        <v>807</v>
      </c>
      <c r="C729" s="1">
        <v>44950</v>
      </c>
      <c r="D729" s="1">
        <f>IF(E729="",C729+VLOOKUP(B729,Lembar2!$B$19:$C$24,2,FALSE),'Procurement Dataset'!E729)</f>
        <v>44968</v>
      </c>
      <c r="E729" s="1">
        <v>44968</v>
      </c>
      <c r="F729" t="s">
        <v>791</v>
      </c>
      <c r="G729" t="s">
        <v>796</v>
      </c>
      <c r="H729" s="5">
        <v>462</v>
      </c>
      <c r="I729" s="3">
        <v>91.81</v>
      </c>
      <c r="J729" s="3">
        <v>83.14</v>
      </c>
      <c r="K729" s="5">
        <f t="shared" si="78"/>
        <v>11</v>
      </c>
      <c r="L729">
        <v>11</v>
      </c>
      <c r="M729" t="s">
        <v>793</v>
      </c>
      <c r="N729">
        <f t="shared" si="77"/>
        <v>18</v>
      </c>
      <c r="O729" t="str">
        <f t="shared" si="79"/>
        <v>Valid</v>
      </c>
      <c r="P729" s="1" t="str">
        <f>IF(N729&gt;=(VLOOKUP(B729,Lembar2!$B$19:$C$24,2,FALSE)+7),"Delayed","Ontime")</f>
        <v>Delayed</v>
      </c>
      <c r="Q729" s="3">
        <f t="shared" si="80"/>
        <v>42416.22</v>
      </c>
      <c r="R729" s="3">
        <f t="shared" si="81"/>
        <v>38410.68</v>
      </c>
      <c r="S729" s="3">
        <f t="shared" si="82"/>
        <v>4005.5400000000009</v>
      </c>
      <c r="T729">
        <f t="shared" si="83"/>
        <v>0</v>
      </c>
    </row>
    <row r="730" spans="1:20" x14ac:dyDescent="0.25">
      <c r="A730" t="s">
        <v>1533</v>
      </c>
      <c r="B730" t="s">
        <v>798</v>
      </c>
      <c r="C730" s="1">
        <v>44846</v>
      </c>
      <c r="D730" s="1">
        <f>IF(E730="",C730+VLOOKUP(B730,Lembar2!$B$19:$C$24,2,FALSE),'Procurement Dataset'!E730)</f>
        <v>44851</v>
      </c>
      <c r="E730" s="1">
        <v>44851</v>
      </c>
      <c r="F730" t="s">
        <v>802</v>
      </c>
      <c r="G730" t="s">
        <v>796</v>
      </c>
      <c r="H730" s="5">
        <v>1449</v>
      </c>
      <c r="I730" s="3">
        <v>57.02</v>
      </c>
      <c r="J730" s="3">
        <v>49.28</v>
      </c>
      <c r="K730" s="5">
        <f t="shared" si="78"/>
        <v>71</v>
      </c>
      <c r="L730">
        <v>71</v>
      </c>
      <c r="M730" t="s">
        <v>793</v>
      </c>
      <c r="N730">
        <f t="shared" si="77"/>
        <v>5</v>
      </c>
      <c r="O730" t="str">
        <f t="shared" si="79"/>
        <v>Valid</v>
      </c>
      <c r="P730" s="1" t="str">
        <f>IF(N730&gt;=(VLOOKUP(B730,Lembar2!$B$19:$C$24,2,FALSE)+7),"Delayed","Ontime")</f>
        <v>Ontime</v>
      </c>
      <c r="Q730" s="3">
        <f t="shared" si="80"/>
        <v>82621.98000000001</v>
      </c>
      <c r="R730" s="3">
        <f t="shared" si="81"/>
        <v>71406.720000000001</v>
      </c>
      <c r="S730" s="3">
        <f t="shared" si="82"/>
        <v>11215.260000000009</v>
      </c>
      <c r="T730">
        <f t="shared" si="83"/>
        <v>1</v>
      </c>
    </row>
    <row r="731" spans="1:20" x14ac:dyDescent="0.25">
      <c r="A731" t="s">
        <v>1534</v>
      </c>
      <c r="B731" t="s">
        <v>807</v>
      </c>
      <c r="C731" s="1">
        <v>44993</v>
      </c>
      <c r="D731" s="1">
        <f>IF(E731="",C731+VLOOKUP(B731,Lembar2!$B$19:$C$24,2,FALSE),'Procurement Dataset'!E731)</f>
        <v>45012</v>
      </c>
      <c r="E731" s="1">
        <v>45012</v>
      </c>
      <c r="F731" t="s">
        <v>799</v>
      </c>
      <c r="G731" t="s">
        <v>796</v>
      </c>
      <c r="H731" s="5">
        <v>1493</v>
      </c>
      <c r="I731" s="3">
        <v>56.98</v>
      </c>
      <c r="J731" s="3">
        <v>52.51</v>
      </c>
      <c r="K731" s="5">
        <f t="shared" si="78"/>
        <v>43</v>
      </c>
      <c r="L731">
        <v>43</v>
      </c>
      <c r="M731" t="s">
        <v>793</v>
      </c>
      <c r="N731">
        <f t="shared" si="77"/>
        <v>19</v>
      </c>
      <c r="O731" t="str">
        <f t="shared" si="79"/>
        <v>Valid</v>
      </c>
      <c r="P731" s="1" t="str">
        <f>IF(N731&gt;=(VLOOKUP(B731,Lembar2!$B$19:$C$24,2,FALSE)+7),"Delayed","Ontime")</f>
        <v>Delayed</v>
      </c>
      <c r="Q731" s="3">
        <f t="shared" si="80"/>
        <v>85071.14</v>
      </c>
      <c r="R731" s="3">
        <f t="shared" si="81"/>
        <v>78397.429999999993</v>
      </c>
      <c r="S731" s="3">
        <f t="shared" si="82"/>
        <v>6673.7100000000064</v>
      </c>
      <c r="T731">
        <f t="shared" si="83"/>
        <v>0</v>
      </c>
    </row>
    <row r="732" spans="1:20" x14ac:dyDescent="0.25">
      <c r="A732" t="s">
        <v>1535</v>
      </c>
      <c r="B732" t="s">
        <v>790</v>
      </c>
      <c r="C732" s="1">
        <v>44820</v>
      </c>
      <c r="D732" s="1">
        <f>IF(E732="",C732+VLOOKUP(B732,Lembar2!$B$19:$C$24,2,FALSE),'Procurement Dataset'!E732)</f>
        <v>44822</v>
      </c>
      <c r="E732" s="1">
        <v>44822</v>
      </c>
      <c r="F732" t="s">
        <v>791</v>
      </c>
      <c r="G732" t="s">
        <v>796</v>
      </c>
      <c r="H732" s="5">
        <v>778</v>
      </c>
      <c r="I732" s="3">
        <v>65.849999999999994</v>
      </c>
      <c r="J732" s="3">
        <v>62.08</v>
      </c>
      <c r="K732" s="5">
        <f t="shared" si="78"/>
        <v>0</v>
      </c>
      <c r="M732" t="s">
        <v>805</v>
      </c>
      <c r="N732">
        <f t="shared" si="77"/>
        <v>2</v>
      </c>
      <c r="O732" t="str">
        <f t="shared" si="79"/>
        <v>Valid</v>
      </c>
      <c r="P732" s="1" t="str">
        <f>IF(N732&gt;=(VLOOKUP(B732,Lembar2!$B$19:$C$24,2,FALSE)+7),"Delayed","Ontime")</f>
        <v>Ontime</v>
      </c>
      <c r="Q732" s="3">
        <f t="shared" si="80"/>
        <v>51231.299999999996</v>
      </c>
      <c r="R732" s="3">
        <f t="shared" si="81"/>
        <v>48298.239999999998</v>
      </c>
      <c r="S732" s="3">
        <f t="shared" si="82"/>
        <v>2933.0599999999977</v>
      </c>
      <c r="T732">
        <f t="shared" si="83"/>
        <v>1</v>
      </c>
    </row>
    <row r="733" spans="1:20" x14ac:dyDescent="0.25">
      <c r="A733" t="s">
        <v>1536</v>
      </c>
      <c r="B733" t="s">
        <v>795</v>
      </c>
      <c r="C733" s="1">
        <v>44645</v>
      </c>
      <c r="D733" s="1">
        <f>IF(E733="",C733+VLOOKUP(B733,Lembar2!$B$19:$C$24,2,FALSE),'Procurement Dataset'!E733)</f>
        <v>44662</v>
      </c>
      <c r="E733" s="1">
        <v>44662</v>
      </c>
      <c r="F733" t="s">
        <v>802</v>
      </c>
      <c r="G733" t="s">
        <v>811</v>
      </c>
      <c r="H733" s="5">
        <v>1350</v>
      </c>
      <c r="I733" s="3">
        <v>85.06</v>
      </c>
      <c r="J733" s="3">
        <v>82.34</v>
      </c>
      <c r="K733" s="5">
        <f t="shared" si="78"/>
        <v>0</v>
      </c>
      <c r="M733" t="s">
        <v>805</v>
      </c>
      <c r="N733">
        <f t="shared" si="77"/>
        <v>17</v>
      </c>
      <c r="O733" t="str">
        <f t="shared" si="79"/>
        <v>Valid</v>
      </c>
      <c r="P733" s="1" t="str">
        <f>IF(N733&gt;=(VLOOKUP(B733,Lembar2!$B$19:$C$24,2,FALSE)+7),"Delayed","Ontime")</f>
        <v>Ontime</v>
      </c>
      <c r="Q733" s="3">
        <f t="shared" si="80"/>
        <v>114831</v>
      </c>
      <c r="R733" s="3">
        <f t="shared" si="81"/>
        <v>111159</v>
      </c>
      <c r="S733" s="3">
        <f t="shared" si="82"/>
        <v>3672</v>
      </c>
      <c r="T733">
        <f t="shared" si="83"/>
        <v>1</v>
      </c>
    </row>
    <row r="734" spans="1:20" x14ac:dyDescent="0.25">
      <c r="A734" t="s">
        <v>1537</v>
      </c>
      <c r="B734" t="s">
        <v>807</v>
      </c>
      <c r="C734" s="1">
        <v>45043</v>
      </c>
      <c r="D734" s="1">
        <f>IF(E734="",C734+VLOOKUP(B734,Lembar2!$B$19:$C$24,2,FALSE),'Procurement Dataset'!E734)</f>
        <v>45051</v>
      </c>
      <c r="E734" s="1">
        <v>45051</v>
      </c>
      <c r="F734" t="s">
        <v>802</v>
      </c>
      <c r="G734" t="s">
        <v>796</v>
      </c>
      <c r="H734" s="5">
        <v>1070</v>
      </c>
      <c r="I734" s="3">
        <v>44.4</v>
      </c>
      <c r="J734" s="3">
        <v>40.07</v>
      </c>
      <c r="K734" s="5">
        <f t="shared" si="78"/>
        <v>26</v>
      </c>
      <c r="L734">
        <v>26</v>
      </c>
      <c r="M734" t="s">
        <v>793</v>
      </c>
      <c r="N734">
        <f t="shared" si="77"/>
        <v>8</v>
      </c>
      <c r="O734" t="str">
        <f t="shared" si="79"/>
        <v>Valid</v>
      </c>
      <c r="P734" s="1" t="str">
        <f>IF(N734&gt;=(VLOOKUP(B734,Lembar2!$B$19:$C$24,2,FALSE)+7),"Delayed","Ontime")</f>
        <v>Ontime</v>
      </c>
      <c r="Q734" s="3">
        <f t="shared" si="80"/>
        <v>47508</v>
      </c>
      <c r="R734" s="3">
        <f t="shared" si="81"/>
        <v>42874.9</v>
      </c>
      <c r="S734" s="3">
        <f t="shared" si="82"/>
        <v>4633.0999999999985</v>
      </c>
      <c r="T734">
        <f t="shared" si="83"/>
        <v>1</v>
      </c>
    </row>
    <row r="735" spans="1:20" x14ac:dyDescent="0.25">
      <c r="A735" t="s">
        <v>1538</v>
      </c>
      <c r="B735" t="s">
        <v>801</v>
      </c>
      <c r="C735" s="1">
        <v>44581</v>
      </c>
      <c r="D735" s="1">
        <f>IF(E735="",C735+VLOOKUP(B735,Lembar2!$B$19:$C$24,2,FALSE),'Procurement Dataset'!E735)</f>
        <v>44595</v>
      </c>
      <c r="E735" s="1">
        <v>44595</v>
      </c>
      <c r="F735" t="s">
        <v>802</v>
      </c>
      <c r="G735" t="s">
        <v>813</v>
      </c>
      <c r="H735" s="5">
        <v>810</v>
      </c>
      <c r="I735" s="3">
        <v>71.02</v>
      </c>
      <c r="J735" s="3">
        <v>66.8</v>
      </c>
      <c r="K735" s="5">
        <f t="shared" si="78"/>
        <v>73</v>
      </c>
      <c r="L735">
        <v>73</v>
      </c>
      <c r="M735" t="s">
        <v>793</v>
      </c>
      <c r="N735">
        <f t="shared" si="77"/>
        <v>14</v>
      </c>
      <c r="O735" t="str">
        <f t="shared" si="79"/>
        <v>Valid</v>
      </c>
      <c r="P735" s="1" t="str">
        <f>IF(N735&gt;=(VLOOKUP(B735,Lembar2!$B$19:$C$24,2,FALSE)+7),"Delayed","Ontime")</f>
        <v>Ontime</v>
      </c>
      <c r="Q735" s="3">
        <f t="shared" si="80"/>
        <v>57526.2</v>
      </c>
      <c r="R735" s="3">
        <f t="shared" si="81"/>
        <v>54108</v>
      </c>
      <c r="S735" s="3">
        <f t="shared" si="82"/>
        <v>3418.1999999999971</v>
      </c>
      <c r="T735">
        <f t="shared" si="83"/>
        <v>1</v>
      </c>
    </row>
    <row r="736" spans="1:20" x14ac:dyDescent="0.25">
      <c r="A736" t="s">
        <v>1539</v>
      </c>
      <c r="B736" t="s">
        <v>795</v>
      </c>
      <c r="C736" s="1">
        <v>45114</v>
      </c>
      <c r="D736" s="1">
        <f>IF(E736="",C736+VLOOKUP(B736,Lembar2!$B$19:$C$24,2,FALSE),'Procurement Dataset'!E736)</f>
        <v>45130</v>
      </c>
      <c r="E736" s="1">
        <v>45130</v>
      </c>
      <c r="F736" t="s">
        <v>802</v>
      </c>
      <c r="G736" t="s">
        <v>792</v>
      </c>
      <c r="H736" s="5">
        <v>725</v>
      </c>
      <c r="I736" s="3">
        <v>66.400000000000006</v>
      </c>
      <c r="J736" s="3">
        <v>62.1</v>
      </c>
      <c r="K736" s="5">
        <f t="shared" si="78"/>
        <v>118</v>
      </c>
      <c r="L736">
        <v>118</v>
      </c>
      <c r="M736" t="s">
        <v>793</v>
      </c>
      <c r="N736">
        <f t="shared" si="77"/>
        <v>16</v>
      </c>
      <c r="O736" t="str">
        <f t="shared" si="79"/>
        <v>Valid</v>
      </c>
      <c r="P736" s="1" t="str">
        <f>IF(N736&gt;=(VLOOKUP(B736,Lembar2!$B$19:$C$24,2,FALSE)+7),"Delayed","Ontime")</f>
        <v>Ontime</v>
      </c>
      <c r="Q736" s="3">
        <f t="shared" si="80"/>
        <v>48140.000000000007</v>
      </c>
      <c r="R736" s="3">
        <f t="shared" si="81"/>
        <v>45022.5</v>
      </c>
      <c r="S736" s="3">
        <f t="shared" si="82"/>
        <v>3117.5000000000073</v>
      </c>
      <c r="T736">
        <f t="shared" si="83"/>
        <v>1</v>
      </c>
    </row>
    <row r="737" spans="1:20" x14ac:dyDescent="0.25">
      <c r="A737" t="s">
        <v>1540</v>
      </c>
      <c r="B737" t="s">
        <v>790</v>
      </c>
      <c r="C737" s="1">
        <v>44615</v>
      </c>
      <c r="D737" s="1">
        <f>IF(E737="",C737+VLOOKUP(B737,Lembar2!$B$19:$C$24,2,FALSE),'Procurement Dataset'!E737)</f>
        <v>44620</v>
      </c>
      <c r="E737" s="1">
        <v>44620</v>
      </c>
      <c r="F737" t="s">
        <v>817</v>
      </c>
      <c r="G737" t="s">
        <v>796</v>
      </c>
      <c r="H737" s="5">
        <v>1467</v>
      </c>
      <c r="I737" s="3">
        <v>34.200000000000003</v>
      </c>
      <c r="J737" s="3">
        <v>30.5</v>
      </c>
      <c r="K737" s="5">
        <f t="shared" si="78"/>
        <v>25</v>
      </c>
      <c r="L737">
        <v>25</v>
      </c>
      <c r="M737" t="s">
        <v>793</v>
      </c>
      <c r="N737">
        <f t="shared" si="77"/>
        <v>5</v>
      </c>
      <c r="O737" t="str">
        <f t="shared" si="79"/>
        <v>Valid</v>
      </c>
      <c r="P737" s="1" t="str">
        <f>IF(N737&gt;=(VLOOKUP(B737,Lembar2!$B$19:$C$24,2,FALSE)+7),"Delayed","Ontime")</f>
        <v>Ontime</v>
      </c>
      <c r="Q737" s="3">
        <f t="shared" si="80"/>
        <v>50171.4</v>
      </c>
      <c r="R737" s="3">
        <f t="shared" si="81"/>
        <v>44743.5</v>
      </c>
      <c r="S737" s="3">
        <f t="shared" si="82"/>
        <v>5427.9000000000015</v>
      </c>
      <c r="T737">
        <f t="shared" si="83"/>
        <v>1</v>
      </c>
    </row>
    <row r="738" spans="1:20" x14ac:dyDescent="0.25">
      <c r="A738" t="s">
        <v>1541</v>
      </c>
      <c r="B738" t="s">
        <v>801</v>
      </c>
      <c r="C738" s="1">
        <v>44920</v>
      </c>
      <c r="D738" s="1">
        <f>IF(E738="",C738+VLOOKUP(B738,Lembar2!$B$19:$C$24,2,FALSE),'Procurement Dataset'!E738)</f>
        <v>44938</v>
      </c>
      <c r="E738" s="1">
        <v>44938</v>
      </c>
      <c r="F738" t="s">
        <v>802</v>
      </c>
      <c r="G738" t="s">
        <v>796</v>
      </c>
      <c r="H738" s="5">
        <v>1942</v>
      </c>
      <c r="I738" s="3">
        <v>93.98</v>
      </c>
      <c r="J738" s="3">
        <v>81.31</v>
      </c>
      <c r="K738" s="5">
        <f t="shared" si="78"/>
        <v>198</v>
      </c>
      <c r="L738">
        <v>198</v>
      </c>
      <c r="M738" t="s">
        <v>793</v>
      </c>
      <c r="N738">
        <f t="shared" si="77"/>
        <v>18</v>
      </c>
      <c r="O738" t="str">
        <f t="shared" si="79"/>
        <v>Valid</v>
      </c>
      <c r="P738" s="1" t="str">
        <f>IF(N738&gt;=(VLOOKUP(B738,Lembar2!$B$19:$C$24,2,FALSE)+7),"Delayed","Ontime")</f>
        <v>Ontime</v>
      </c>
      <c r="Q738" s="3">
        <f t="shared" si="80"/>
        <v>182509.16</v>
      </c>
      <c r="R738" s="3">
        <f t="shared" si="81"/>
        <v>157904.02000000002</v>
      </c>
      <c r="S738" s="3">
        <f t="shared" si="82"/>
        <v>24605.139999999985</v>
      </c>
      <c r="T738">
        <f t="shared" si="83"/>
        <v>1</v>
      </c>
    </row>
    <row r="739" spans="1:20" x14ac:dyDescent="0.25">
      <c r="A739" t="s">
        <v>1542</v>
      </c>
      <c r="B739" t="s">
        <v>798</v>
      </c>
      <c r="C739" s="1">
        <v>44791</v>
      </c>
      <c r="D739" s="1">
        <f>IF(E739="",C739+VLOOKUP(B739,Lembar2!$B$19:$C$24,2,FALSE),'Procurement Dataset'!E739)</f>
        <v>44801</v>
      </c>
      <c r="F739" t="s">
        <v>791</v>
      </c>
      <c r="G739" t="s">
        <v>796</v>
      </c>
      <c r="H739" s="5">
        <v>506</v>
      </c>
      <c r="I739" s="3">
        <v>84.63</v>
      </c>
      <c r="J739" s="3">
        <v>72.69</v>
      </c>
      <c r="K739" s="5">
        <f t="shared" si="78"/>
        <v>20</v>
      </c>
      <c r="L739">
        <v>20</v>
      </c>
      <c r="M739" t="s">
        <v>793</v>
      </c>
      <c r="N739" t="str">
        <f t="shared" si="77"/>
        <v/>
      </c>
      <c r="O739" t="str">
        <f t="shared" si="79"/>
        <v>Valid</v>
      </c>
      <c r="P739" s="1" t="str">
        <f>IF(N739&gt;=(VLOOKUP(B739,Lembar2!$B$19:$C$24,2,FALSE)+7),"Delayed","Ontime")</f>
        <v>Delayed</v>
      </c>
      <c r="Q739" s="3">
        <f t="shared" si="80"/>
        <v>42822.78</v>
      </c>
      <c r="R739" s="3">
        <f t="shared" si="81"/>
        <v>36781.14</v>
      </c>
      <c r="S739" s="3">
        <f t="shared" si="82"/>
        <v>6041.6399999999994</v>
      </c>
      <c r="T739">
        <f t="shared" si="83"/>
        <v>0</v>
      </c>
    </row>
    <row r="740" spans="1:20" x14ac:dyDescent="0.25">
      <c r="A740" t="s">
        <v>1543</v>
      </c>
      <c r="B740" t="s">
        <v>790</v>
      </c>
      <c r="C740" s="1">
        <v>45227</v>
      </c>
      <c r="D740" s="1">
        <f>IF(E740="",C740+VLOOKUP(B740,Lembar2!$B$19:$C$24,2,FALSE),'Procurement Dataset'!E740)</f>
        <v>45243</v>
      </c>
      <c r="E740" s="1">
        <v>45243</v>
      </c>
      <c r="F740" t="s">
        <v>799</v>
      </c>
      <c r="G740" t="s">
        <v>796</v>
      </c>
      <c r="H740" s="5">
        <v>969</v>
      </c>
      <c r="I740" s="3">
        <v>76.53</v>
      </c>
      <c r="J740" s="3">
        <v>75.64</v>
      </c>
      <c r="K740" s="5">
        <f t="shared" si="78"/>
        <v>30</v>
      </c>
      <c r="L740">
        <v>30</v>
      </c>
      <c r="M740" t="s">
        <v>793</v>
      </c>
      <c r="N740">
        <f t="shared" si="77"/>
        <v>16</v>
      </c>
      <c r="O740" t="str">
        <f t="shared" si="79"/>
        <v>Valid</v>
      </c>
      <c r="P740" s="1" t="str">
        <f>IF(N740&gt;=(VLOOKUP(B740,Lembar2!$B$19:$C$24,2,FALSE)+7),"Delayed","Ontime")</f>
        <v>Ontime</v>
      </c>
      <c r="Q740" s="3">
        <f t="shared" si="80"/>
        <v>74157.570000000007</v>
      </c>
      <c r="R740" s="3">
        <f t="shared" si="81"/>
        <v>73295.16</v>
      </c>
      <c r="S740" s="3">
        <f t="shared" si="82"/>
        <v>862.41000000000349</v>
      </c>
      <c r="T740">
        <f t="shared" si="83"/>
        <v>1</v>
      </c>
    </row>
    <row r="741" spans="1:20" x14ac:dyDescent="0.25">
      <c r="A741" t="s">
        <v>1544</v>
      </c>
      <c r="B741" t="s">
        <v>795</v>
      </c>
      <c r="C741" s="1">
        <v>44632</v>
      </c>
      <c r="D741" s="1">
        <f>IF(E741="",C741+VLOOKUP(B741,Lembar2!$B$19:$C$24,2,FALSE),'Procurement Dataset'!E741)</f>
        <v>44639</v>
      </c>
      <c r="E741" s="1">
        <v>44639</v>
      </c>
      <c r="F741" t="s">
        <v>799</v>
      </c>
      <c r="G741" t="s">
        <v>796</v>
      </c>
      <c r="H741" s="5">
        <v>241</v>
      </c>
      <c r="I741" s="3">
        <v>87.42</v>
      </c>
      <c r="J741" s="3">
        <v>82.15</v>
      </c>
      <c r="K741" s="5">
        <f t="shared" si="78"/>
        <v>0</v>
      </c>
      <c r="M741" t="s">
        <v>793</v>
      </c>
      <c r="N741">
        <f t="shared" si="77"/>
        <v>7</v>
      </c>
      <c r="O741" t="str">
        <f t="shared" si="79"/>
        <v>Valid</v>
      </c>
      <c r="P741" s="1" t="str">
        <f>IF(N741&gt;=(VLOOKUP(B741,Lembar2!$B$19:$C$24,2,FALSE)+7),"Delayed","Ontime")</f>
        <v>Ontime</v>
      </c>
      <c r="Q741" s="3">
        <f t="shared" si="80"/>
        <v>21068.22</v>
      </c>
      <c r="R741" s="3">
        <f t="shared" si="81"/>
        <v>19798.150000000001</v>
      </c>
      <c r="S741" s="3">
        <f t="shared" si="82"/>
        <v>1270.0699999999997</v>
      </c>
      <c r="T741">
        <f t="shared" si="83"/>
        <v>1</v>
      </c>
    </row>
    <row r="742" spans="1:20" x14ac:dyDescent="0.25">
      <c r="A742" t="s">
        <v>1545</v>
      </c>
      <c r="B742" t="s">
        <v>798</v>
      </c>
      <c r="C742" s="1">
        <v>45229</v>
      </c>
      <c r="D742" s="1">
        <f>IF(E742="",C742+VLOOKUP(B742,Lembar2!$B$19:$C$24,2,FALSE),'Procurement Dataset'!E742)</f>
        <v>45239</v>
      </c>
      <c r="E742" s="1">
        <v>45239</v>
      </c>
      <c r="F742" t="s">
        <v>804</v>
      </c>
      <c r="G742" t="s">
        <v>796</v>
      </c>
      <c r="H742" s="5">
        <v>788</v>
      </c>
      <c r="I742" s="3">
        <v>97.3</v>
      </c>
      <c r="J742" s="3">
        <v>94.44</v>
      </c>
      <c r="K742" s="5">
        <f t="shared" si="78"/>
        <v>32</v>
      </c>
      <c r="L742">
        <v>32</v>
      </c>
      <c r="M742" t="s">
        <v>793</v>
      </c>
      <c r="N742">
        <f t="shared" si="77"/>
        <v>10</v>
      </c>
      <c r="O742" t="str">
        <f t="shared" si="79"/>
        <v>Valid</v>
      </c>
      <c r="P742" s="1" t="str">
        <f>IF(N742&gt;=(VLOOKUP(B742,Lembar2!$B$19:$C$24,2,FALSE)+7),"Delayed","Ontime")</f>
        <v>Ontime</v>
      </c>
      <c r="Q742" s="3">
        <f t="shared" si="80"/>
        <v>76672.399999999994</v>
      </c>
      <c r="R742" s="3">
        <f t="shared" si="81"/>
        <v>74418.720000000001</v>
      </c>
      <c r="S742" s="3">
        <f t="shared" si="82"/>
        <v>2253.679999999993</v>
      </c>
      <c r="T742">
        <f t="shared" si="83"/>
        <v>1</v>
      </c>
    </row>
    <row r="743" spans="1:20" x14ac:dyDescent="0.25">
      <c r="A743" t="s">
        <v>1546</v>
      </c>
      <c r="B743" t="s">
        <v>798</v>
      </c>
      <c r="C743" s="1">
        <v>44603</v>
      </c>
      <c r="D743" s="1">
        <f>IF(E743="",C743+VLOOKUP(B743,Lembar2!$B$19:$C$24,2,FALSE),'Procurement Dataset'!E743)</f>
        <v>44605</v>
      </c>
      <c r="E743" s="1">
        <v>44605</v>
      </c>
      <c r="F743" t="s">
        <v>791</v>
      </c>
      <c r="G743" t="s">
        <v>796</v>
      </c>
      <c r="H743" s="5">
        <v>1762</v>
      </c>
      <c r="I743" s="3">
        <v>74.12</v>
      </c>
      <c r="J743" s="3">
        <v>65.709999999999994</v>
      </c>
      <c r="K743" s="5">
        <f t="shared" si="78"/>
        <v>94</v>
      </c>
      <c r="L743">
        <v>94</v>
      </c>
      <c r="M743" t="s">
        <v>793</v>
      </c>
      <c r="N743">
        <f t="shared" si="77"/>
        <v>2</v>
      </c>
      <c r="O743" t="str">
        <f t="shared" si="79"/>
        <v>Valid</v>
      </c>
      <c r="P743" s="1" t="str">
        <f>IF(N743&gt;=(VLOOKUP(B743,Lembar2!$B$19:$C$24,2,FALSE)+7),"Delayed","Ontime")</f>
        <v>Ontime</v>
      </c>
      <c r="Q743" s="3">
        <f t="shared" si="80"/>
        <v>130599.44</v>
      </c>
      <c r="R743" s="3">
        <f t="shared" si="81"/>
        <v>115781.01999999999</v>
      </c>
      <c r="S743" s="3">
        <f t="shared" si="82"/>
        <v>14818.420000000013</v>
      </c>
      <c r="T743">
        <f t="shared" si="83"/>
        <v>1</v>
      </c>
    </row>
    <row r="744" spans="1:20" x14ac:dyDescent="0.25">
      <c r="A744" t="s">
        <v>1547</v>
      </c>
      <c r="B744" t="s">
        <v>790</v>
      </c>
      <c r="C744" s="1">
        <v>44593</v>
      </c>
      <c r="D744" s="1">
        <f>IF(E744="",C744+VLOOKUP(B744,Lembar2!$B$19:$C$24,2,FALSE),'Procurement Dataset'!E744)</f>
        <v>44604</v>
      </c>
      <c r="F744" t="s">
        <v>804</v>
      </c>
      <c r="G744" t="s">
        <v>813</v>
      </c>
      <c r="H744" s="5">
        <v>1172</v>
      </c>
      <c r="I744" s="3">
        <v>85.76</v>
      </c>
      <c r="J744" s="3">
        <v>81.430000000000007</v>
      </c>
      <c r="K744" s="5">
        <f t="shared" si="78"/>
        <v>25</v>
      </c>
      <c r="L744">
        <v>25</v>
      </c>
      <c r="M744" t="s">
        <v>793</v>
      </c>
      <c r="N744" t="str">
        <f t="shared" si="77"/>
        <v/>
      </c>
      <c r="O744" t="str">
        <f t="shared" si="79"/>
        <v>Valid</v>
      </c>
      <c r="P744" s="1" t="str">
        <f>IF(N744&gt;=(VLOOKUP(B744,Lembar2!$B$19:$C$24,2,FALSE)+7),"Delayed","Ontime")</f>
        <v>Delayed</v>
      </c>
      <c r="Q744" s="3">
        <f t="shared" si="80"/>
        <v>100510.72</v>
      </c>
      <c r="R744" s="3">
        <f t="shared" si="81"/>
        <v>95435.96</v>
      </c>
      <c r="S744" s="3">
        <f t="shared" si="82"/>
        <v>5074.7599999999948</v>
      </c>
      <c r="T744">
        <f t="shared" si="83"/>
        <v>0</v>
      </c>
    </row>
    <row r="745" spans="1:20" x14ac:dyDescent="0.25">
      <c r="A745" t="s">
        <v>1548</v>
      </c>
      <c r="B745" t="s">
        <v>795</v>
      </c>
      <c r="C745" s="1">
        <v>44815</v>
      </c>
      <c r="D745" s="1">
        <f>IF(E745="",C745+VLOOKUP(B745,Lembar2!$B$19:$C$24,2,FALSE),'Procurement Dataset'!E745)</f>
        <v>44834</v>
      </c>
      <c r="E745" s="1">
        <v>44834</v>
      </c>
      <c r="F745" t="s">
        <v>791</v>
      </c>
      <c r="G745" t="s">
        <v>796</v>
      </c>
      <c r="H745" s="5">
        <v>1621</v>
      </c>
      <c r="I745" s="3">
        <v>75.680000000000007</v>
      </c>
      <c r="J745" s="3">
        <v>73.78</v>
      </c>
      <c r="K745" s="5">
        <f t="shared" si="78"/>
        <v>226</v>
      </c>
      <c r="L745">
        <v>226</v>
      </c>
      <c r="M745" t="s">
        <v>805</v>
      </c>
      <c r="N745">
        <f t="shared" si="77"/>
        <v>19</v>
      </c>
      <c r="O745" t="str">
        <f t="shared" si="79"/>
        <v>Valid</v>
      </c>
      <c r="P745" s="1" t="str">
        <f>IF(N745&gt;=(VLOOKUP(B745,Lembar2!$B$19:$C$24,2,FALSE)+7),"Delayed","Ontime")</f>
        <v>Delayed</v>
      </c>
      <c r="Q745" s="3">
        <f t="shared" si="80"/>
        <v>122677.28000000001</v>
      </c>
      <c r="R745" s="3">
        <f t="shared" si="81"/>
        <v>119597.38</v>
      </c>
      <c r="S745" s="3">
        <f t="shared" si="82"/>
        <v>3079.9000000000087</v>
      </c>
      <c r="T745">
        <f t="shared" si="83"/>
        <v>0</v>
      </c>
    </row>
    <row r="746" spans="1:20" x14ac:dyDescent="0.25">
      <c r="A746" t="s">
        <v>1549</v>
      </c>
      <c r="B746" t="s">
        <v>790</v>
      </c>
      <c r="C746" s="1">
        <v>44766</v>
      </c>
      <c r="D746" s="1">
        <f>IF(E746="",C746+VLOOKUP(B746,Lembar2!$B$19:$C$24,2,FALSE),'Procurement Dataset'!E746)</f>
        <v>44768</v>
      </c>
      <c r="E746" s="1">
        <v>44768</v>
      </c>
      <c r="F746" t="s">
        <v>802</v>
      </c>
      <c r="G746" t="s">
        <v>796</v>
      </c>
      <c r="H746" s="5">
        <v>1027</v>
      </c>
      <c r="I746" s="3">
        <v>73.349999999999994</v>
      </c>
      <c r="J746" s="3">
        <v>65.42</v>
      </c>
      <c r="K746" s="5">
        <f t="shared" si="78"/>
        <v>24</v>
      </c>
      <c r="L746">
        <v>24</v>
      </c>
      <c r="M746" t="s">
        <v>805</v>
      </c>
      <c r="N746">
        <f t="shared" si="77"/>
        <v>2</v>
      </c>
      <c r="O746" t="str">
        <f t="shared" si="79"/>
        <v>Valid</v>
      </c>
      <c r="P746" s="1" t="str">
        <f>IF(N746&gt;=(VLOOKUP(B746,Lembar2!$B$19:$C$24,2,FALSE)+7),"Delayed","Ontime")</f>
        <v>Ontime</v>
      </c>
      <c r="Q746" s="3">
        <f t="shared" si="80"/>
        <v>75330.45</v>
      </c>
      <c r="R746" s="3">
        <f t="shared" si="81"/>
        <v>67186.34</v>
      </c>
      <c r="S746" s="3">
        <f t="shared" si="82"/>
        <v>8144.1100000000006</v>
      </c>
      <c r="T746">
        <f t="shared" si="83"/>
        <v>1</v>
      </c>
    </row>
    <row r="747" spans="1:20" x14ac:dyDescent="0.25">
      <c r="A747" t="s">
        <v>1550</v>
      </c>
      <c r="B747" t="s">
        <v>801</v>
      </c>
      <c r="C747" s="1">
        <v>44582</v>
      </c>
      <c r="D747" s="1">
        <f>IF(E747="",C747+VLOOKUP(B747,Lembar2!$B$19:$C$24,2,FALSE),'Procurement Dataset'!E747)</f>
        <v>44594</v>
      </c>
      <c r="F747" t="s">
        <v>804</v>
      </c>
      <c r="G747" t="s">
        <v>796</v>
      </c>
      <c r="H747" s="5">
        <v>1058</v>
      </c>
      <c r="I747" s="3">
        <v>65.680000000000007</v>
      </c>
      <c r="J747" s="3">
        <v>57.21</v>
      </c>
      <c r="K747" s="5">
        <f t="shared" si="78"/>
        <v>101</v>
      </c>
      <c r="L747">
        <v>101</v>
      </c>
      <c r="M747" t="s">
        <v>793</v>
      </c>
      <c r="N747" t="str">
        <f t="shared" si="77"/>
        <v/>
      </c>
      <c r="O747" t="str">
        <f t="shared" si="79"/>
        <v>Valid</v>
      </c>
      <c r="P747" s="1" t="str">
        <f>IF(N747&gt;=(VLOOKUP(B747,Lembar2!$B$19:$C$24,2,FALSE)+7),"Delayed","Ontime")</f>
        <v>Delayed</v>
      </c>
      <c r="Q747" s="3">
        <f t="shared" si="80"/>
        <v>69489.440000000002</v>
      </c>
      <c r="R747" s="3">
        <f t="shared" si="81"/>
        <v>60528.18</v>
      </c>
      <c r="S747" s="3">
        <f t="shared" si="82"/>
        <v>8961.260000000002</v>
      </c>
      <c r="T747">
        <f t="shared" si="83"/>
        <v>0</v>
      </c>
    </row>
    <row r="748" spans="1:20" x14ac:dyDescent="0.25">
      <c r="A748" t="s">
        <v>1551</v>
      </c>
      <c r="B748" t="s">
        <v>801</v>
      </c>
      <c r="C748" s="1">
        <v>45198</v>
      </c>
      <c r="D748" s="1">
        <f>IF(E748="",C748+VLOOKUP(B748,Lembar2!$B$19:$C$24,2,FALSE),'Procurement Dataset'!E748)</f>
        <v>45204</v>
      </c>
      <c r="E748" s="1">
        <v>45204</v>
      </c>
      <c r="F748" t="s">
        <v>802</v>
      </c>
      <c r="G748" t="s">
        <v>796</v>
      </c>
      <c r="H748" s="5">
        <v>145</v>
      </c>
      <c r="I748" s="3">
        <v>85.52</v>
      </c>
      <c r="J748" s="3">
        <v>81.86</v>
      </c>
      <c r="K748" s="5">
        <f t="shared" si="78"/>
        <v>11</v>
      </c>
      <c r="L748">
        <v>11</v>
      </c>
      <c r="M748" t="s">
        <v>805</v>
      </c>
      <c r="N748">
        <f t="shared" si="77"/>
        <v>6</v>
      </c>
      <c r="O748" t="str">
        <f t="shared" si="79"/>
        <v>Valid</v>
      </c>
      <c r="P748" s="1" t="str">
        <f>IF(N748&gt;=(VLOOKUP(B748,Lembar2!$B$19:$C$24,2,FALSE)+7),"Delayed","Ontime")</f>
        <v>Ontime</v>
      </c>
      <c r="Q748" s="3">
        <f t="shared" si="80"/>
        <v>12400.4</v>
      </c>
      <c r="R748" s="3">
        <f t="shared" si="81"/>
        <v>11869.7</v>
      </c>
      <c r="S748" s="3">
        <f t="shared" si="82"/>
        <v>530.69999999999891</v>
      </c>
      <c r="T748">
        <f t="shared" si="83"/>
        <v>1</v>
      </c>
    </row>
    <row r="749" spans="1:20" x14ac:dyDescent="0.25">
      <c r="A749" t="s">
        <v>1552</v>
      </c>
      <c r="B749" t="s">
        <v>807</v>
      </c>
      <c r="C749" s="1">
        <v>44718</v>
      </c>
      <c r="D749" s="1">
        <f>IF(E749="",C749+VLOOKUP(B749,Lembar2!$B$19:$C$24,2,FALSE),'Procurement Dataset'!E749)</f>
        <v>44729</v>
      </c>
      <c r="F749" t="s">
        <v>791</v>
      </c>
      <c r="G749" t="s">
        <v>796</v>
      </c>
      <c r="H749" s="5">
        <v>1737</v>
      </c>
      <c r="I749" s="3">
        <v>24.88</v>
      </c>
      <c r="J749" s="3">
        <v>24.28</v>
      </c>
      <c r="K749" s="5">
        <f t="shared" si="78"/>
        <v>46</v>
      </c>
      <c r="L749">
        <v>46</v>
      </c>
      <c r="M749" t="s">
        <v>793</v>
      </c>
      <c r="N749" t="str">
        <f t="shared" si="77"/>
        <v/>
      </c>
      <c r="O749" t="str">
        <f t="shared" si="79"/>
        <v>Valid</v>
      </c>
      <c r="P749" s="1" t="str">
        <f>IF(N749&gt;=(VLOOKUP(B749,Lembar2!$B$19:$C$24,2,FALSE)+7),"Delayed","Ontime")</f>
        <v>Delayed</v>
      </c>
      <c r="Q749" s="3">
        <f t="shared" si="80"/>
        <v>43216.56</v>
      </c>
      <c r="R749" s="3">
        <f t="shared" si="81"/>
        <v>42174.36</v>
      </c>
      <c r="S749" s="3">
        <f t="shared" si="82"/>
        <v>1042.1999999999971</v>
      </c>
      <c r="T749">
        <f t="shared" si="83"/>
        <v>0</v>
      </c>
    </row>
    <row r="750" spans="1:20" x14ac:dyDescent="0.25">
      <c r="A750" t="s">
        <v>1553</v>
      </c>
      <c r="B750" t="s">
        <v>798</v>
      </c>
      <c r="C750" s="1">
        <v>44806</v>
      </c>
      <c r="D750" s="1">
        <f>IF(E750="",C750+VLOOKUP(B750,Lembar2!$B$19:$C$24,2,FALSE),'Procurement Dataset'!E750)</f>
        <v>44819</v>
      </c>
      <c r="E750" s="1">
        <v>44819</v>
      </c>
      <c r="F750" t="s">
        <v>817</v>
      </c>
      <c r="G750" t="s">
        <v>796</v>
      </c>
      <c r="H750" s="5">
        <v>712</v>
      </c>
      <c r="I750" s="3">
        <v>92.85</v>
      </c>
      <c r="J750" s="3">
        <v>89.39</v>
      </c>
      <c r="K750" s="5">
        <f t="shared" si="78"/>
        <v>43</v>
      </c>
      <c r="L750">
        <v>43</v>
      </c>
      <c r="M750" t="s">
        <v>793</v>
      </c>
      <c r="N750">
        <f t="shared" si="77"/>
        <v>13</v>
      </c>
      <c r="O750" t="str">
        <f t="shared" si="79"/>
        <v>Valid</v>
      </c>
      <c r="P750" s="1" t="str">
        <f>IF(N750&gt;=(VLOOKUP(B750,Lembar2!$B$19:$C$24,2,FALSE)+7),"Delayed","Ontime")</f>
        <v>Ontime</v>
      </c>
      <c r="Q750" s="3">
        <f t="shared" si="80"/>
        <v>66109.2</v>
      </c>
      <c r="R750" s="3">
        <f t="shared" si="81"/>
        <v>63645.68</v>
      </c>
      <c r="S750" s="3">
        <f t="shared" si="82"/>
        <v>2463.5199999999968</v>
      </c>
      <c r="T750">
        <f t="shared" si="83"/>
        <v>1</v>
      </c>
    </row>
    <row r="751" spans="1:20" x14ac:dyDescent="0.25">
      <c r="A751" t="s">
        <v>1554</v>
      </c>
      <c r="B751" t="s">
        <v>807</v>
      </c>
      <c r="C751" s="1">
        <v>44691</v>
      </c>
      <c r="D751" s="1">
        <f>IF(E751="",C751+VLOOKUP(B751,Lembar2!$B$19:$C$24,2,FALSE),'Procurement Dataset'!E751)</f>
        <v>44697</v>
      </c>
      <c r="E751" s="1">
        <v>44697</v>
      </c>
      <c r="F751" t="s">
        <v>817</v>
      </c>
      <c r="G751" t="s">
        <v>796</v>
      </c>
      <c r="H751" s="5">
        <v>1263</v>
      </c>
      <c r="I751" s="3">
        <v>90.24</v>
      </c>
      <c r="J751" s="3">
        <v>86.84</v>
      </c>
      <c r="K751" s="5">
        <f t="shared" si="78"/>
        <v>28</v>
      </c>
      <c r="L751">
        <v>28</v>
      </c>
      <c r="M751" t="s">
        <v>793</v>
      </c>
      <c r="N751">
        <f t="shared" si="77"/>
        <v>6</v>
      </c>
      <c r="O751" t="str">
        <f t="shared" si="79"/>
        <v>Valid</v>
      </c>
      <c r="P751" s="1" t="str">
        <f>IF(N751&gt;=(VLOOKUP(B751,Lembar2!$B$19:$C$24,2,FALSE)+7),"Delayed","Ontime")</f>
        <v>Ontime</v>
      </c>
      <c r="Q751" s="3">
        <f t="shared" si="80"/>
        <v>113973.12</v>
      </c>
      <c r="R751" s="3">
        <f t="shared" si="81"/>
        <v>109678.92</v>
      </c>
      <c r="S751" s="3">
        <f t="shared" si="82"/>
        <v>4294.1999999999971</v>
      </c>
      <c r="T751">
        <f t="shared" si="83"/>
        <v>1</v>
      </c>
    </row>
    <row r="752" spans="1:20" x14ac:dyDescent="0.25">
      <c r="A752" t="s">
        <v>1555</v>
      </c>
      <c r="B752" t="s">
        <v>795</v>
      </c>
      <c r="C752" s="1">
        <v>45046</v>
      </c>
      <c r="D752" s="1">
        <f>IF(E752="",C752+VLOOKUP(B752,Lembar2!$B$19:$C$24,2,FALSE),'Procurement Dataset'!E752)</f>
        <v>45057</v>
      </c>
      <c r="F752" t="s">
        <v>817</v>
      </c>
      <c r="G752" t="s">
        <v>796</v>
      </c>
      <c r="H752" s="5">
        <v>1809</v>
      </c>
      <c r="I752" s="3">
        <v>13.58</v>
      </c>
      <c r="J752" s="3">
        <v>12.68</v>
      </c>
      <c r="K752" s="5">
        <f t="shared" si="78"/>
        <v>0</v>
      </c>
      <c r="M752" t="s">
        <v>805</v>
      </c>
      <c r="N752" t="str">
        <f t="shared" si="77"/>
        <v/>
      </c>
      <c r="O752" t="str">
        <f t="shared" si="79"/>
        <v>Valid</v>
      </c>
      <c r="P752" s="1" t="str">
        <f>IF(N752&gt;=(VLOOKUP(B752,Lembar2!$B$19:$C$24,2,FALSE)+7),"Delayed","Ontime")</f>
        <v>Delayed</v>
      </c>
      <c r="Q752" s="3">
        <f t="shared" si="80"/>
        <v>24566.22</v>
      </c>
      <c r="R752" s="3">
        <f t="shared" si="81"/>
        <v>22938.12</v>
      </c>
      <c r="S752" s="3">
        <f t="shared" si="82"/>
        <v>1628.1000000000022</v>
      </c>
      <c r="T752">
        <f t="shared" si="83"/>
        <v>0</v>
      </c>
    </row>
    <row r="753" spans="1:20" x14ac:dyDescent="0.25">
      <c r="A753" t="s">
        <v>1556</v>
      </c>
      <c r="B753" t="s">
        <v>801</v>
      </c>
      <c r="C753" s="1">
        <v>45247</v>
      </c>
      <c r="D753" s="1">
        <f>IF(E753="",C753+VLOOKUP(B753,Lembar2!$B$19:$C$24,2,FALSE),'Procurement Dataset'!E753)</f>
        <v>45259</v>
      </c>
      <c r="F753" t="s">
        <v>817</v>
      </c>
      <c r="G753" t="s">
        <v>792</v>
      </c>
      <c r="H753" s="5">
        <v>86</v>
      </c>
      <c r="I753" s="3">
        <v>93.6</v>
      </c>
      <c r="J753" s="3">
        <v>88.22</v>
      </c>
      <c r="K753" s="5">
        <f t="shared" si="78"/>
        <v>5</v>
      </c>
      <c r="L753">
        <v>5</v>
      </c>
      <c r="M753" t="s">
        <v>793</v>
      </c>
      <c r="N753" t="str">
        <f t="shared" si="77"/>
        <v/>
      </c>
      <c r="O753" t="str">
        <f t="shared" si="79"/>
        <v>Valid</v>
      </c>
      <c r="P753" s="1" t="str">
        <f>IF(N753&gt;=(VLOOKUP(B753,Lembar2!$B$19:$C$24,2,FALSE)+7),"Delayed","Ontime")</f>
        <v>Delayed</v>
      </c>
      <c r="Q753" s="3">
        <f t="shared" si="80"/>
        <v>8049.5999999999995</v>
      </c>
      <c r="R753" s="3">
        <f t="shared" si="81"/>
        <v>7586.92</v>
      </c>
      <c r="S753" s="3">
        <f t="shared" si="82"/>
        <v>462.67999999999938</v>
      </c>
      <c r="T753">
        <f t="shared" si="83"/>
        <v>0</v>
      </c>
    </row>
    <row r="754" spans="1:20" x14ac:dyDescent="0.25">
      <c r="A754" t="s">
        <v>1557</v>
      </c>
      <c r="B754" t="s">
        <v>807</v>
      </c>
      <c r="C754" s="1">
        <v>44679</v>
      </c>
      <c r="D754" s="1">
        <f>IF(E754="",C754+VLOOKUP(B754,Lembar2!$B$19:$C$24,2,FALSE),'Procurement Dataset'!E754)</f>
        <v>44690</v>
      </c>
      <c r="F754" t="s">
        <v>799</v>
      </c>
      <c r="G754" t="s">
        <v>796</v>
      </c>
      <c r="H754" s="5">
        <v>1853</v>
      </c>
      <c r="I754" s="3">
        <v>21.92</v>
      </c>
      <c r="J754" s="3">
        <v>20.72</v>
      </c>
      <c r="K754" s="5">
        <f t="shared" si="78"/>
        <v>0</v>
      </c>
      <c r="M754" t="s">
        <v>793</v>
      </c>
      <c r="N754" t="str">
        <f t="shared" si="77"/>
        <v/>
      </c>
      <c r="O754" t="str">
        <f t="shared" si="79"/>
        <v>Valid</v>
      </c>
      <c r="P754" s="1" t="str">
        <f>IF(N754&gt;=(VLOOKUP(B754,Lembar2!$B$19:$C$24,2,FALSE)+7),"Delayed","Ontime")</f>
        <v>Delayed</v>
      </c>
      <c r="Q754" s="3">
        <f t="shared" si="80"/>
        <v>40617.760000000002</v>
      </c>
      <c r="R754" s="3">
        <f t="shared" si="81"/>
        <v>38394.159999999996</v>
      </c>
      <c r="S754" s="3">
        <f t="shared" si="82"/>
        <v>2223.6000000000058</v>
      </c>
      <c r="T754">
        <f t="shared" si="83"/>
        <v>0</v>
      </c>
    </row>
    <row r="755" spans="1:20" x14ac:dyDescent="0.25">
      <c r="A755" t="s">
        <v>1558</v>
      </c>
      <c r="B755" t="s">
        <v>801</v>
      </c>
      <c r="C755" s="1">
        <v>45139</v>
      </c>
      <c r="D755" s="1">
        <f>IF(E755="",C755+VLOOKUP(B755,Lembar2!$B$19:$C$24,2,FALSE),'Procurement Dataset'!E755)</f>
        <v>45140</v>
      </c>
      <c r="E755" s="1">
        <v>45140</v>
      </c>
      <c r="F755" t="s">
        <v>817</v>
      </c>
      <c r="G755" t="s">
        <v>796</v>
      </c>
      <c r="H755" s="5">
        <v>1442</v>
      </c>
      <c r="I755" s="3">
        <v>43.98</v>
      </c>
      <c r="J755" s="3">
        <v>41.82</v>
      </c>
      <c r="K755" s="5">
        <f t="shared" si="78"/>
        <v>140</v>
      </c>
      <c r="L755">
        <v>140</v>
      </c>
      <c r="M755" t="s">
        <v>805</v>
      </c>
      <c r="N755">
        <f t="shared" si="77"/>
        <v>1</v>
      </c>
      <c r="O755" t="str">
        <f t="shared" si="79"/>
        <v>Valid</v>
      </c>
      <c r="P755" s="1" t="str">
        <f>IF(N755&gt;=(VLOOKUP(B755,Lembar2!$B$19:$C$24,2,FALSE)+7),"Delayed","Ontime")</f>
        <v>Ontime</v>
      </c>
      <c r="Q755" s="3">
        <f t="shared" si="80"/>
        <v>63419.159999999996</v>
      </c>
      <c r="R755" s="3">
        <f t="shared" si="81"/>
        <v>60304.44</v>
      </c>
      <c r="S755" s="3">
        <f t="shared" si="82"/>
        <v>3114.7199999999939</v>
      </c>
      <c r="T755">
        <f t="shared" si="83"/>
        <v>1</v>
      </c>
    </row>
    <row r="756" spans="1:20" x14ac:dyDescent="0.25">
      <c r="A756" t="s">
        <v>1559</v>
      </c>
      <c r="B756" t="s">
        <v>801</v>
      </c>
      <c r="C756" s="1">
        <v>44785</v>
      </c>
      <c r="D756" s="1">
        <f>IF(E756="",C756+VLOOKUP(B756,Lembar2!$B$19:$C$24,2,FALSE),'Procurement Dataset'!E756)</f>
        <v>44805</v>
      </c>
      <c r="E756" s="1">
        <v>44805</v>
      </c>
      <c r="F756" t="s">
        <v>791</v>
      </c>
      <c r="G756" t="s">
        <v>813</v>
      </c>
      <c r="H756" s="5">
        <v>1768</v>
      </c>
      <c r="I756" s="3">
        <v>79.61</v>
      </c>
      <c r="J756" s="3">
        <v>74.97</v>
      </c>
      <c r="K756" s="5">
        <f t="shared" si="78"/>
        <v>207</v>
      </c>
      <c r="L756">
        <v>207</v>
      </c>
      <c r="M756" t="s">
        <v>805</v>
      </c>
      <c r="N756">
        <f t="shared" si="77"/>
        <v>20</v>
      </c>
      <c r="O756" t="str">
        <f t="shared" si="79"/>
        <v>Valid</v>
      </c>
      <c r="P756" s="1" t="str">
        <f>IF(N756&gt;=(VLOOKUP(B756,Lembar2!$B$19:$C$24,2,FALSE)+7),"Delayed","Ontime")</f>
        <v>Delayed</v>
      </c>
      <c r="Q756" s="3">
        <f t="shared" si="80"/>
        <v>140750.48000000001</v>
      </c>
      <c r="R756" s="3">
        <f t="shared" si="81"/>
        <v>132546.96</v>
      </c>
      <c r="S756" s="3">
        <f t="shared" si="82"/>
        <v>8203.5200000000186</v>
      </c>
      <c r="T756">
        <f t="shared" si="83"/>
        <v>0</v>
      </c>
    </row>
    <row r="757" spans="1:20" x14ac:dyDescent="0.25">
      <c r="A757" t="s">
        <v>1560</v>
      </c>
      <c r="B757" t="s">
        <v>801</v>
      </c>
      <c r="C757" s="1">
        <v>45038</v>
      </c>
      <c r="D757" s="1">
        <f>IF(E757="",C757+VLOOKUP(B757,Lembar2!$B$19:$C$24,2,FALSE),'Procurement Dataset'!E757)</f>
        <v>45049</v>
      </c>
      <c r="E757" s="1">
        <v>45049</v>
      </c>
      <c r="F757" t="s">
        <v>817</v>
      </c>
      <c r="G757" t="s">
        <v>811</v>
      </c>
      <c r="H757" s="5">
        <v>1598</v>
      </c>
      <c r="I757" s="3">
        <v>26.3</v>
      </c>
      <c r="J757" s="3">
        <v>26.03</v>
      </c>
      <c r="K757" s="5">
        <f t="shared" si="78"/>
        <v>154</v>
      </c>
      <c r="L757">
        <v>154</v>
      </c>
      <c r="M757" t="s">
        <v>805</v>
      </c>
      <c r="N757">
        <f t="shared" si="77"/>
        <v>11</v>
      </c>
      <c r="O757" t="str">
        <f t="shared" si="79"/>
        <v>Valid</v>
      </c>
      <c r="P757" s="1" t="str">
        <f>IF(N757&gt;=(VLOOKUP(B757,Lembar2!$B$19:$C$24,2,FALSE)+7),"Delayed","Ontime")</f>
        <v>Ontime</v>
      </c>
      <c r="Q757" s="3">
        <f t="shared" si="80"/>
        <v>42027.4</v>
      </c>
      <c r="R757" s="3">
        <f t="shared" si="81"/>
        <v>41595.94</v>
      </c>
      <c r="S757" s="3">
        <f t="shared" si="82"/>
        <v>431.45999999999913</v>
      </c>
      <c r="T757">
        <f t="shared" si="83"/>
        <v>1</v>
      </c>
    </row>
    <row r="758" spans="1:20" x14ac:dyDescent="0.25">
      <c r="A758" t="s">
        <v>1561</v>
      </c>
      <c r="B758" t="s">
        <v>790</v>
      </c>
      <c r="C758" s="1">
        <v>45278</v>
      </c>
      <c r="D758" s="1">
        <f>IF(E758="",C758+VLOOKUP(B758,Lembar2!$B$19:$C$24,2,FALSE),'Procurement Dataset'!E758)</f>
        <v>45296</v>
      </c>
      <c r="E758" s="1">
        <v>45296</v>
      </c>
      <c r="F758" t="s">
        <v>799</v>
      </c>
      <c r="G758" t="s">
        <v>792</v>
      </c>
      <c r="H758" s="5">
        <v>328</v>
      </c>
      <c r="I758" s="3">
        <v>93.23</v>
      </c>
      <c r="J758" s="3">
        <v>82.63</v>
      </c>
      <c r="K758" s="5">
        <f t="shared" si="78"/>
        <v>6</v>
      </c>
      <c r="L758">
        <v>6</v>
      </c>
      <c r="M758" t="s">
        <v>793</v>
      </c>
      <c r="N758">
        <f t="shared" si="77"/>
        <v>18</v>
      </c>
      <c r="O758" t="str">
        <f t="shared" si="79"/>
        <v>Valid</v>
      </c>
      <c r="P758" s="1" t="str">
        <f>IF(N758&gt;=(VLOOKUP(B758,Lembar2!$B$19:$C$24,2,FALSE)+7),"Delayed","Ontime")</f>
        <v>Delayed</v>
      </c>
      <c r="Q758" s="3">
        <f t="shared" si="80"/>
        <v>30579.440000000002</v>
      </c>
      <c r="R758" s="3">
        <f t="shared" si="81"/>
        <v>27102.639999999999</v>
      </c>
      <c r="S758" s="3">
        <f t="shared" si="82"/>
        <v>3476.8000000000029</v>
      </c>
      <c r="T758">
        <f t="shared" si="83"/>
        <v>0</v>
      </c>
    </row>
    <row r="759" spans="1:20" x14ac:dyDescent="0.25">
      <c r="A759" t="s">
        <v>1562</v>
      </c>
      <c r="B759" t="s">
        <v>807</v>
      </c>
      <c r="C759" s="1">
        <v>44824</v>
      </c>
      <c r="D759" s="1">
        <f>IF(E759="",C759+VLOOKUP(B759,Lembar2!$B$19:$C$24,2,FALSE),'Procurement Dataset'!E759)</f>
        <v>44829</v>
      </c>
      <c r="E759" s="1">
        <v>44829</v>
      </c>
      <c r="F759" t="s">
        <v>802</v>
      </c>
      <c r="G759" t="s">
        <v>796</v>
      </c>
      <c r="H759" s="5">
        <v>266</v>
      </c>
      <c r="I759" s="3">
        <v>88.29</v>
      </c>
      <c r="J759" s="3">
        <v>80.22</v>
      </c>
      <c r="K759" s="5">
        <f t="shared" si="78"/>
        <v>4</v>
      </c>
      <c r="L759">
        <v>4</v>
      </c>
      <c r="M759" t="s">
        <v>793</v>
      </c>
      <c r="N759">
        <f t="shared" si="77"/>
        <v>5</v>
      </c>
      <c r="O759" t="str">
        <f t="shared" si="79"/>
        <v>Valid</v>
      </c>
      <c r="P759" s="1" t="str">
        <f>IF(N759&gt;=(VLOOKUP(B759,Lembar2!$B$19:$C$24,2,FALSE)+7),"Delayed","Ontime")</f>
        <v>Ontime</v>
      </c>
      <c r="Q759" s="3">
        <f t="shared" si="80"/>
        <v>23485.140000000003</v>
      </c>
      <c r="R759" s="3">
        <f t="shared" si="81"/>
        <v>21338.52</v>
      </c>
      <c r="S759" s="3">
        <f t="shared" si="82"/>
        <v>2146.6200000000026</v>
      </c>
      <c r="T759">
        <f t="shared" si="83"/>
        <v>1</v>
      </c>
    </row>
    <row r="760" spans="1:20" x14ac:dyDescent="0.25">
      <c r="A760" t="s">
        <v>1563</v>
      </c>
      <c r="B760" t="s">
        <v>798</v>
      </c>
      <c r="C760" s="1">
        <v>44939</v>
      </c>
      <c r="D760" s="1">
        <f>IF(E760="",C760+VLOOKUP(B760,Lembar2!$B$19:$C$24,2,FALSE),'Procurement Dataset'!E760)</f>
        <v>44954</v>
      </c>
      <c r="E760" s="1">
        <v>44954</v>
      </c>
      <c r="F760" t="s">
        <v>804</v>
      </c>
      <c r="G760" t="s">
        <v>796</v>
      </c>
      <c r="H760" s="5">
        <v>916</v>
      </c>
      <c r="I760" s="3">
        <v>59.01</v>
      </c>
      <c r="J760" s="3">
        <v>53.37</v>
      </c>
      <c r="K760" s="5">
        <f t="shared" si="78"/>
        <v>47</v>
      </c>
      <c r="L760">
        <v>47</v>
      </c>
      <c r="M760" t="s">
        <v>793</v>
      </c>
      <c r="N760">
        <f t="shared" si="77"/>
        <v>15</v>
      </c>
      <c r="O760" t="str">
        <f t="shared" si="79"/>
        <v>Valid</v>
      </c>
      <c r="P760" s="1" t="str">
        <f>IF(N760&gt;=(VLOOKUP(B760,Lembar2!$B$19:$C$24,2,FALSE)+7),"Delayed","Ontime")</f>
        <v>Ontime</v>
      </c>
      <c r="Q760" s="3">
        <f t="shared" si="80"/>
        <v>54053.159999999996</v>
      </c>
      <c r="R760" s="3">
        <f t="shared" si="81"/>
        <v>48886.92</v>
      </c>
      <c r="S760" s="3">
        <f t="shared" si="82"/>
        <v>5166.239999999998</v>
      </c>
      <c r="T760">
        <f t="shared" si="83"/>
        <v>1</v>
      </c>
    </row>
    <row r="761" spans="1:20" x14ac:dyDescent="0.25">
      <c r="A761" t="s">
        <v>1564</v>
      </c>
      <c r="B761" t="s">
        <v>807</v>
      </c>
      <c r="C761" s="1">
        <v>44733</v>
      </c>
      <c r="D761" s="1">
        <f>IF(E761="",C761+VLOOKUP(B761,Lembar2!$B$19:$C$24,2,FALSE),'Procurement Dataset'!E761)</f>
        <v>44737</v>
      </c>
      <c r="E761" s="1">
        <v>44737</v>
      </c>
      <c r="F761" t="s">
        <v>802</v>
      </c>
      <c r="G761" t="s">
        <v>792</v>
      </c>
      <c r="H761" s="5">
        <v>922</v>
      </c>
      <c r="I761" s="3">
        <v>10.84</v>
      </c>
      <c r="J761" s="3">
        <v>9.27</v>
      </c>
      <c r="K761" s="5">
        <f t="shared" si="78"/>
        <v>29</v>
      </c>
      <c r="L761">
        <v>29</v>
      </c>
      <c r="M761" t="s">
        <v>793</v>
      </c>
      <c r="N761">
        <f t="shared" si="77"/>
        <v>4</v>
      </c>
      <c r="O761" t="str">
        <f t="shared" si="79"/>
        <v>Valid</v>
      </c>
      <c r="P761" s="1" t="str">
        <f>IF(N761&gt;=(VLOOKUP(B761,Lembar2!$B$19:$C$24,2,FALSE)+7),"Delayed","Ontime")</f>
        <v>Ontime</v>
      </c>
      <c r="Q761" s="3">
        <f t="shared" si="80"/>
        <v>9994.48</v>
      </c>
      <c r="R761" s="3">
        <f t="shared" si="81"/>
        <v>8546.94</v>
      </c>
      <c r="S761" s="3">
        <f t="shared" si="82"/>
        <v>1447.5399999999991</v>
      </c>
      <c r="T761">
        <f t="shared" si="83"/>
        <v>1</v>
      </c>
    </row>
    <row r="762" spans="1:20" x14ac:dyDescent="0.25">
      <c r="A762" t="s">
        <v>1565</v>
      </c>
      <c r="B762" t="s">
        <v>798</v>
      </c>
      <c r="C762" s="1">
        <v>45182</v>
      </c>
      <c r="D762" s="1">
        <f>IF(E762="",C762+VLOOKUP(B762,Lembar2!$B$19:$C$24,2,FALSE),'Procurement Dataset'!E762)</f>
        <v>45197</v>
      </c>
      <c r="E762" s="1">
        <v>45197</v>
      </c>
      <c r="F762" t="s">
        <v>802</v>
      </c>
      <c r="G762" t="s">
        <v>796</v>
      </c>
      <c r="H762" s="5">
        <v>1871</v>
      </c>
      <c r="I762" s="3">
        <v>39.42</v>
      </c>
      <c r="J762" s="3">
        <v>37.409999999999997</v>
      </c>
      <c r="K762" s="5">
        <f t="shared" si="78"/>
        <v>101</v>
      </c>
      <c r="L762">
        <v>101</v>
      </c>
      <c r="M762" t="s">
        <v>805</v>
      </c>
      <c r="N762">
        <f t="shared" si="77"/>
        <v>15</v>
      </c>
      <c r="O762" t="str">
        <f t="shared" si="79"/>
        <v>Valid</v>
      </c>
      <c r="P762" s="1" t="str">
        <f>IF(N762&gt;=(VLOOKUP(B762,Lembar2!$B$19:$C$24,2,FALSE)+7),"Delayed","Ontime")</f>
        <v>Ontime</v>
      </c>
      <c r="Q762" s="3">
        <f t="shared" si="80"/>
        <v>73754.820000000007</v>
      </c>
      <c r="R762" s="3">
        <f t="shared" si="81"/>
        <v>69994.11</v>
      </c>
      <c r="S762" s="3">
        <f t="shared" si="82"/>
        <v>3760.7100000000064</v>
      </c>
      <c r="T762">
        <f t="shared" si="83"/>
        <v>1</v>
      </c>
    </row>
    <row r="763" spans="1:20" x14ac:dyDescent="0.25">
      <c r="A763" t="s">
        <v>1566</v>
      </c>
      <c r="B763" t="s">
        <v>807</v>
      </c>
      <c r="C763" s="1">
        <v>45183</v>
      </c>
      <c r="D763" s="1">
        <f>IF(E763="",C763+VLOOKUP(B763,Lembar2!$B$19:$C$24,2,FALSE),'Procurement Dataset'!E763)</f>
        <v>45189</v>
      </c>
      <c r="E763" s="1">
        <v>45189</v>
      </c>
      <c r="F763" t="s">
        <v>804</v>
      </c>
      <c r="G763" t="s">
        <v>796</v>
      </c>
      <c r="H763" s="5">
        <v>1346</v>
      </c>
      <c r="I763" s="3">
        <v>72.08</v>
      </c>
      <c r="J763" s="3">
        <v>67.040000000000006</v>
      </c>
      <c r="K763" s="5">
        <f t="shared" si="78"/>
        <v>38</v>
      </c>
      <c r="L763">
        <v>38</v>
      </c>
      <c r="M763" t="s">
        <v>793</v>
      </c>
      <c r="N763">
        <f t="shared" si="77"/>
        <v>6</v>
      </c>
      <c r="O763" t="str">
        <f t="shared" si="79"/>
        <v>Valid</v>
      </c>
      <c r="P763" s="1" t="str">
        <f>IF(N763&gt;=(VLOOKUP(B763,Lembar2!$B$19:$C$24,2,FALSE)+7),"Delayed","Ontime")</f>
        <v>Ontime</v>
      </c>
      <c r="Q763" s="3">
        <f t="shared" si="80"/>
        <v>97019.68</v>
      </c>
      <c r="R763" s="3">
        <f t="shared" si="81"/>
        <v>90235.840000000011</v>
      </c>
      <c r="S763" s="3">
        <f t="shared" si="82"/>
        <v>6783.839999999982</v>
      </c>
      <c r="T763">
        <f t="shared" si="83"/>
        <v>1</v>
      </c>
    </row>
    <row r="764" spans="1:20" x14ac:dyDescent="0.25">
      <c r="A764" t="s">
        <v>1567</v>
      </c>
      <c r="B764" t="s">
        <v>807</v>
      </c>
      <c r="C764" s="1">
        <v>44679</v>
      </c>
      <c r="D764" s="1">
        <f>IF(E764="",C764+VLOOKUP(B764,Lembar2!$B$19:$C$24,2,FALSE),'Procurement Dataset'!E764)</f>
        <v>44690</v>
      </c>
      <c r="E764" s="1">
        <v>44690</v>
      </c>
      <c r="F764" t="s">
        <v>817</v>
      </c>
      <c r="G764" t="s">
        <v>796</v>
      </c>
      <c r="H764" s="5">
        <v>1954</v>
      </c>
      <c r="I764" s="3">
        <v>99.78</v>
      </c>
      <c r="J764" s="3">
        <v>87.47</v>
      </c>
      <c r="K764" s="5">
        <f t="shared" si="78"/>
        <v>57</v>
      </c>
      <c r="L764">
        <v>57</v>
      </c>
      <c r="M764" t="s">
        <v>793</v>
      </c>
      <c r="N764">
        <f t="shared" si="77"/>
        <v>11</v>
      </c>
      <c r="O764" t="str">
        <f t="shared" si="79"/>
        <v>Valid</v>
      </c>
      <c r="P764" s="1" t="str">
        <f>IF(N764&gt;=(VLOOKUP(B764,Lembar2!$B$19:$C$24,2,FALSE)+7),"Delayed","Ontime")</f>
        <v>Ontime</v>
      </c>
      <c r="Q764" s="3">
        <f t="shared" si="80"/>
        <v>194970.12</v>
      </c>
      <c r="R764" s="3">
        <f t="shared" si="81"/>
        <v>170916.38</v>
      </c>
      <c r="S764" s="3">
        <f t="shared" si="82"/>
        <v>24053.739999999991</v>
      </c>
      <c r="T764">
        <f t="shared" si="83"/>
        <v>1</v>
      </c>
    </row>
    <row r="765" spans="1:20" x14ac:dyDescent="0.25">
      <c r="A765" t="s">
        <v>1568</v>
      </c>
      <c r="B765" t="s">
        <v>801</v>
      </c>
      <c r="C765" s="1">
        <v>44729</v>
      </c>
      <c r="D765" s="1">
        <f>IF(E765="",C765+VLOOKUP(B765,Lembar2!$B$19:$C$24,2,FALSE),'Procurement Dataset'!E765)</f>
        <v>44748</v>
      </c>
      <c r="E765" s="1">
        <v>44748</v>
      </c>
      <c r="F765" t="s">
        <v>817</v>
      </c>
      <c r="G765" t="s">
        <v>796</v>
      </c>
      <c r="H765" s="5">
        <v>111</v>
      </c>
      <c r="I765" s="3">
        <v>68.53</v>
      </c>
      <c r="J765" s="3">
        <v>65.22</v>
      </c>
      <c r="K765" s="5">
        <f t="shared" si="78"/>
        <v>11</v>
      </c>
      <c r="L765">
        <v>11</v>
      </c>
      <c r="M765" t="s">
        <v>793</v>
      </c>
      <c r="N765">
        <f t="shared" si="77"/>
        <v>19</v>
      </c>
      <c r="O765" t="str">
        <f t="shared" si="79"/>
        <v>Valid</v>
      </c>
      <c r="P765" s="1" t="str">
        <f>IF(N765&gt;=(VLOOKUP(B765,Lembar2!$B$19:$C$24,2,FALSE)+7),"Delayed","Ontime")</f>
        <v>Delayed</v>
      </c>
      <c r="Q765" s="3">
        <f t="shared" si="80"/>
        <v>7606.83</v>
      </c>
      <c r="R765" s="3">
        <f t="shared" si="81"/>
        <v>7239.42</v>
      </c>
      <c r="S765" s="3">
        <f t="shared" si="82"/>
        <v>367.40999999999985</v>
      </c>
      <c r="T765">
        <f t="shared" si="83"/>
        <v>0</v>
      </c>
    </row>
    <row r="766" spans="1:20" x14ac:dyDescent="0.25">
      <c r="A766" t="s">
        <v>1569</v>
      </c>
      <c r="B766" t="s">
        <v>798</v>
      </c>
      <c r="C766" s="1">
        <v>44880</v>
      </c>
      <c r="D766" s="1">
        <f>IF(E766="",C766+VLOOKUP(B766,Lembar2!$B$19:$C$24,2,FALSE),'Procurement Dataset'!E766)</f>
        <v>44887</v>
      </c>
      <c r="E766" s="1">
        <v>44887</v>
      </c>
      <c r="F766" t="s">
        <v>791</v>
      </c>
      <c r="G766" t="s">
        <v>813</v>
      </c>
      <c r="H766" s="5">
        <v>645</v>
      </c>
      <c r="I766" s="3">
        <v>35.049999999999997</v>
      </c>
      <c r="J766" s="3">
        <v>30.88</v>
      </c>
      <c r="K766" s="5">
        <f t="shared" si="78"/>
        <v>27</v>
      </c>
      <c r="L766">
        <v>27</v>
      </c>
      <c r="M766" t="s">
        <v>793</v>
      </c>
      <c r="N766">
        <f t="shared" si="77"/>
        <v>7</v>
      </c>
      <c r="O766" t="str">
        <f t="shared" si="79"/>
        <v>Valid</v>
      </c>
      <c r="P766" s="1" t="str">
        <f>IF(N766&gt;=(VLOOKUP(B766,Lembar2!$B$19:$C$24,2,FALSE)+7),"Delayed","Ontime")</f>
        <v>Ontime</v>
      </c>
      <c r="Q766" s="3">
        <f t="shared" si="80"/>
        <v>22607.249999999996</v>
      </c>
      <c r="R766" s="3">
        <f t="shared" si="81"/>
        <v>19917.599999999999</v>
      </c>
      <c r="S766" s="3">
        <f t="shared" si="82"/>
        <v>2689.6499999999978</v>
      </c>
      <c r="T766">
        <f t="shared" si="83"/>
        <v>1</v>
      </c>
    </row>
    <row r="767" spans="1:20" x14ac:dyDescent="0.25">
      <c r="A767" t="s">
        <v>1570</v>
      </c>
      <c r="B767" t="s">
        <v>798</v>
      </c>
      <c r="C767" s="1">
        <v>44672</v>
      </c>
      <c r="D767" s="1">
        <f>IF(E767="",C767+VLOOKUP(B767,Lembar2!$B$19:$C$24,2,FALSE),'Procurement Dataset'!E767)</f>
        <v>44685</v>
      </c>
      <c r="E767" s="1">
        <v>44685</v>
      </c>
      <c r="F767" t="s">
        <v>817</v>
      </c>
      <c r="G767" t="s">
        <v>792</v>
      </c>
      <c r="H767" s="5">
        <v>1953</v>
      </c>
      <c r="I767" s="3">
        <v>68.069999999999993</v>
      </c>
      <c r="J767" s="3">
        <v>62.95</v>
      </c>
      <c r="K767" s="5">
        <f t="shared" si="78"/>
        <v>87</v>
      </c>
      <c r="L767">
        <v>87</v>
      </c>
      <c r="M767" t="s">
        <v>793</v>
      </c>
      <c r="N767">
        <f t="shared" si="77"/>
        <v>13</v>
      </c>
      <c r="O767" t="str">
        <f t="shared" si="79"/>
        <v>Valid</v>
      </c>
      <c r="P767" s="1" t="str">
        <f>IF(N767&gt;=(VLOOKUP(B767,Lembar2!$B$19:$C$24,2,FALSE)+7),"Delayed","Ontime")</f>
        <v>Ontime</v>
      </c>
      <c r="Q767" s="3">
        <f t="shared" si="80"/>
        <v>132940.71</v>
      </c>
      <c r="R767" s="3">
        <f t="shared" si="81"/>
        <v>122941.35</v>
      </c>
      <c r="S767" s="3">
        <f t="shared" si="82"/>
        <v>9999.359999999986</v>
      </c>
      <c r="T767">
        <f t="shared" si="83"/>
        <v>1</v>
      </c>
    </row>
    <row r="768" spans="1:20" x14ac:dyDescent="0.25">
      <c r="A768" t="s">
        <v>1571</v>
      </c>
      <c r="B768" t="s">
        <v>798</v>
      </c>
      <c r="C768" s="1">
        <v>45154</v>
      </c>
      <c r="D768" s="1">
        <f>IF(E768="",C768+VLOOKUP(B768,Lembar2!$B$19:$C$24,2,FALSE),'Procurement Dataset'!E768)</f>
        <v>45171</v>
      </c>
      <c r="E768" s="1">
        <v>45171</v>
      </c>
      <c r="F768" t="s">
        <v>817</v>
      </c>
      <c r="G768" t="s">
        <v>796</v>
      </c>
      <c r="H768" s="5">
        <v>778</v>
      </c>
      <c r="I768" s="3">
        <v>64.17</v>
      </c>
      <c r="J768" s="3">
        <v>61.6</v>
      </c>
      <c r="K768" s="5">
        <f t="shared" si="78"/>
        <v>47</v>
      </c>
      <c r="L768">
        <v>47</v>
      </c>
      <c r="M768" t="s">
        <v>793</v>
      </c>
      <c r="N768">
        <f t="shared" si="77"/>
        <v>17</v>
      </c>
      <c r="O768" t="str">
        <f t="shared" si="79"/>
        <v>Valid</v>
      </c>
      <c r="P768" s="1" t="str">
        <f>IF(N768&gt;=(VLOOKUP(B768,Lembar2!$B$19:$C$24,2,FALSE)+7),"Delayed","Ontime")</f>
        <v>Delayed</v>
      </c>
      <c r="Q768" s="3">
        <f t="shared" si="80"/>
        <v>49924.26</v>
      </c>
      <c r="R768" s="3">
        <f t="shared" si="81"/>
        <v>47924.800000000003</v>
      </c>
      <c r="S768" s="3">
        <f t="shared" si="82"/>
        <v>1999.4599999999991</v>
      </c>
      <c r="T768">
        <f t="shared" si="83"/>
        <v>0</v>
      </c>
    </row>
    <row r="769" spans="1:20" x14ac:dyDescent="0.25">
      <c r="A769" t="s">
        <v>1572</v>
      </c>
      <c r="B769" t="s">
        <v>807</v>
      </c>
      <c r="C769" s="1">
        <v>44588</v>
      </c>
      <c r="D769" s="1">
        <f>IF(E769="",C769+VLOOKUP(B769,Lembar2!$B$19:$C$24,2,FALSE),'Procurement Dataset'!E769)</f>
        <v>44601</v>
      </c>
      <c r="E769" s="1">
        <v>44601</v>
      </c>
      <c r="F769" t="s">
        <v>791</v>
      </c>
      <c r="G769" t="s">
        <v>796</v>
      </c>
      <c r="H769" s="5">
        <v>1415</v>
      </c>
      <c r="I769" s="3">
        <v>80.19</v>
      </c>
      <c r="J769" s="3">
        <v>78.34</v>
      </c>
      <c r="K769" s="5">
        <f t="shared" si="78"/>
        <v>0</v>
      </c>
      <c r="M769" t="s">
        <v>793</v>
      </c>
      <c r="N769">
        <f t="shared" si="77"/>
        <v>13</v>
      </c>
      <c r="O769" t="str">
        <f t="shared" si="79"/>
        <v>Valid</v>
      </c>
      <c r="P769" s="1" t="str">
        <f>IF(N769&gt;=(VLOOKUP(B769,Lembar2!$B$19:$C$24,2,FALSE)+7),"Delayed","Ontime")</f>
        <v>Ontime</v>
      </c>
      <c r="Q769" s="3">
        <f t="shared" si="80"/>
        <v>113468.84999999999</v>
      </c>
      <c r="R769" s="3">
        <f t="shared" si="81"/>
        <v>110851.1</v>
      </c>
      <c r="S769" s="3">
        <f t="shared" si="82"/>
        <v>2617.7499999999854</v>
      </c>
      <c r="T769">
        <f t="shared" si="83"/>
        <v>1</v>
      </c>
    </row>
    <row r="770" spans="1:20" x14ac:dyDescent="0.25">
      <c r="A770" t="s">
        <v>1573</v>
      </c>
      <c r="B770" t="s">
        <v>798</v>
      </c>
      <c r="C770" s="1">
        <v>44881</v>
      </c>
      <c r="D770" s="1">
        <f>IF(E770="",C770+VLOOKUP(B770,Lembar2!$B$19:$C$24,2,FALSE),'Procurement Dataset'!E770)</f>
        <v>44887</v>
      </c>
      <c r="E770" s="1">
        <v>44887</v>
      </c>
      <c r="F770" t="s">
        <v>804</v>
      </c>
      <c r="G770" t="s">
        <v>796</v>
      </c>
      <c r="H770" s="5">
        <v>446</v>
      </c>
      <c r="I770" s="3">
        <v>20.61</v>
      </c>
      <c r="J770" s="3">
        <v>19.46</v>
      </c>
      <c r="K770" s="5">
        <f t="shared" si="78"/>
        <v>14</v>
      </c>
      <c r="L770">
        <v>14</v>
      </c>
      <c r="M770" t="s">
        <v>793</v>
      </c>
      <c r="N770">
        <f t="shared" ref="N770:N778" si="84">IF(E770 = "", "", E770-C770)</f>
        <v>6</v>
      </c>
      <c r="O770" t="str">
        <f t="shared" si="79"/>
        <v>Valid</v>
      </c>
      <c r="P770" s="1" t="str">
        <f>IF(N770&gt;=(VLOOKUP(B770,Lembar2!$B$19:$C$24,2,FALSE)+7),"Delayed","Ontime")</f>
        <v>Ontime</v>
      </c>
      <c r="Q770" s="3">
        <f t="shared" si="80"/>
        <v>9192.06</v>
      </c>
      <c r="R770" s="3">
        <f t="shared" si="81"/>
        <v>8679.16</v>
      </c>
      <c r="S770" s="3">
        <f t="shared" si="82"/>
        <v>512.89999999999964</v>
      </c>
      <c r="T770">
        <f t="shared" si="83"/>
        <v>1</v>
      </c>
    </row>
    <row r="771" spans="1:20" x14ac:dyDescent="0.25">
      <c r="A771" t="s">
        <v>1574</v>
      </c>
      <c r="B771" t="s">
        <v>807</v>
      </c>
      <c r="C771" s="1">
        <v>45151</v>
      </c>
      <c r="D771" s="1">
        <f>IF(E771="",C771+VLOOKUP(B771,Lembar2!$B$19:$C$24,2,FALSE),'Procurement Dataset'!E771)</f>
        <v>45162</v>
      </c>
      <c r="F771" t="s">
        <v>791</v>
      </c>
      <c r="G771" t="s">
        <v>796</v>
      </c>
      <c r="H771" s="5">
        <v>748</v>
      </c>
      <c r="I771" s="3">
        <v>85.95</v>
      </c>
      <c r="J771" s="3">
        <v>79.16</v>
      </c>
      <c r="K771" s="5">
        <f t="shared" ref="K771:K778" si="85">IF(L771="", 0, L771)</f>
        <v>32</v>
      </c>
      <c r="L771">
        <v>32</v>
      </c>
      <c r="M771" t="s">
        <v>793</v>
      </c>
      <c r="N771" t="str">
        <f t="shared" si="84"/>
        <v/>
      </c>
      <c r="O771" t="str">
        <f t="shared" ref="O771:O778" si="86">IF(D771&lt;C771,"Invalid","Valid")</f>
        <v>Valid</v>
      </c>
      <c r="P771" s="1" t="str">
        <f>IF(N771&gt;=(VLOOKUP(B771,Lembar2!$B$19:$C$24,2,FALSE)+7),"Delayed","Ontime")</f>
        <v>Delayed</v>
      </c>
      <c r="Q771" s="3">
        <f t="shared" ref="Q771:Q778" si="87">H771*I771</f>
        <v>64290.6</v>
      </c>
      <c r="R771" s="3">
        <f t="shared" ref="R771:R778" si="88">H771*J771</f>
        <v>59211.68</v>
      </c>
      <c r="S771" s="3">
        <f t="shared" ref="S771:S778" si="89">Q771-R771</f>
        <v>5078.9199999999983</v>
      </c>
      <c r="T771">
        <f t="shared" ref="T771:T778" si="90">IF(P771="Ontime",1,0)</f>
        <v>0</v>
      </c>
    </row>
    <row r="772" spans="1:20" x14ac:dyDescent="0.25">
      <c r="A772" t="s">
        <v>1575</v>
      </c>
      <c r="B772" t="s">
        <v>790</v>
      </c>
      <c r="C772" s="1">
        <v>45255</v>
      </c>
      <c r="D772" s="1">
        <f>IF(E772="",C772+VLOOKUP(B772,Lembar2!$B$19:$C$24,2,FALSE),'Procurement Dataset'!E772)</f>
        <v>45263</v>
      </c>
      <c r="E772" s="1">
        <v>45263</v>
      </c>
      <c r="F772" t="s">
        <v>817</v>
      </c>
      <c r="G772" t="s">
        <v>813</v>
      </c>
      <c r="H772" s="5">
        <v>1092</v>
      </c>
      <c r="I772" s="3">
        <v>65.17</v>
      </c>
      <c r="J772" s="3">
        <v>63.11</v>
      </c>
      <c r="K772" s="5">
        <f t="shared" si="85"/>
        <v>21</v>
      </c>
      <c r="L772">
        <v>21</v>
      </c>
      <c r="M772" t="s">
        <v>793</v>
      </c>
      <c r="N772">
        <f t="shared" si="84"/>
        <v>8</v>
      </c>
      <c r="O772" t="str">
        <f t="shared" si="86"/>
        <v>Valid</v>
      </c>
      <c r="P772" s="1" t="str">
        <f>IF(N772&gt;=(VLOOKUP(B772,Lembar2!$B$19:$C$24,2,FALSE)+7),"Delayed","Ontime")</f>
        <v>Ontime</v>
      </c>
      <c r="Q772" s="3">
        <f t="shared" si="87"/>
        <v>71165.64</v>
      </c>
      <c r="R772" s="3">
        <f t="shared" si="88"/>
        <v>68916.12</v>
      </c>
      <c r="S772" s="3">
        <f t="shared" si="89"/>
        <v>2249.5200000000041</v>
      </c>
      <c r="T772">
        <f t="shared" si="90"/>
        <v>1</v>
      </c>
    </row>
    <row r="773" spans="1:20" x14ac:dyDescent="0.25">
      <c r="A773" t="s">
        <v>1576</v>
      </c>
      <c r="B773" t="s">
        <v>801</v>
      </c>
      <c r="C773" s="1">
        <v>44946</v>
      </c>
      <c r="D773" s="1">
        <f>IF(E773="",C773+VLOOKUP(B773,Lembar2!$B$19:$C$24,2,FALSE),'Procurement Dataset'!E773)</f>
        <v>44959</v>
      </c>
      <c r="E773" s="1">
        <v>44959</v>
      </c>
      <c r="F773" t="s">
        <v>817</v>
      </c>
      <c r="G773" t="s">
        <v>796</v>
      </c>
      <c r="H773" s="5">
        <v>226</v>
      </c>
      <c r="I773" s="3">
        <v>102.47</v>
      </c>
      <c r="J773" s="3">
        <v>99.16</v>
      </c>
      <c r="K773" s="5">
        <f t="shared" si="85"/>
        <v>28</v>
      </c>
      <c r="L773">
        <v>28</v>
      </c>
      <c r="M773" t="s">
        <v>793</v>
      </c>
      <c r="N773">
        <f t="shared" si="84"/>
        <v>13</v>
      </c>
      <c r="O773" t="str">
        <f t="shared" si="86"/>
        <v>Valid</v>
      </c>
      <c r="P773" s="1" t="str">
        <f>IF(N773&gt;=(VLOOKUP(B773,Lembar2!$B$19:$C$24,2,FALSE)+7),"Delayed","Ontime")</f>
        <v>Ontime</v>
      </c>
      <c r="Q773" s="3">
        <f t="shared" si="87"/>
        <v>23158.22</v>
      </c>
      <c r="R773" s="3">
        <f t="shared" si="88"/>
        <v>22410.16</v>
      </c>
      <c r="S773" s="3">
        <f t="shared" si="89"/>
        <v>748.06000000000131</v>
      </c>
      <c r="T773">
        <f t="shared" si="90"/>
        <v>1</v>
      </c>
    </row>
    <row r="774" spans="1:20" x14ac:dyDescent="0.25">
      <c r="A774" t="s">
        <v>1577</v>
      </c>
      <c r="B774" t="s">
        <v>795</v>
      </c>
      <c r="C774" s="1">
        <v>44968</v>
      </c>
      <c r="D774" s="1">
        <f>IF(E774="",C774+VLOOKUP(B774,Lembar2!$B$19:$C$24,2,FALSE),'Procurement Dataset'!E774)</f>
        <v>44977</v>
      </c>
      <c r="E774" s="1">
        <v>44977</v>
      </c>
      <c r="F774" t="s">
        <v>817</v>
      </c>
      <c r="G774" t="s">
        <v>796</v>
      </c>
      <c r="H774" s="5">
        <v>1685</v>
      </c>
      <c r="I774" s="3">
        <v>43.42</v>
      </c>
      <c r="J774" s="3">
        <v>42.24</v>
      </c>
      <c r="K774" s="5">
        <f t="shared" si="85"/>
        <v>262</v>
      </c>
      <c r="L774">
        <v>262</v>
      </c>
      <c r="M774" t="s">
        <v>793</v>
      </c>
      <c r="N774">
        <f t="shared" si="84"/>
        <v>9</v>
      </c>
      <c r="O774" t="str">
        <f t="shared" si="86"/>
        <v>Valid</v>
      </c>
      <c r="P774" s="1" t="str">
        <f>IF(N774&gt;=(VLOOKUP(B774,Lembar2!$B$19:$C$24,2,FALSE)+7),"Delayed","Ontime")</f>
        <v>Ontime</v>
      </c>
      <c r="Q774" s="3">
        <f t="shared" si="87"/>
        <v>73162.7</v>
      </c>
      <c r="R774" s="3">
        <f t="shared" si="88"/>
        <v>71174.400000000009</v>
      </c>
      <c r="S774" s="3">
        <f t="shared" si="89"/>
        <v>1988.2999999999884</v>
      </c>
      <c r="T774">
        <f t="shared" si="90"/>
        <v>1</v>
      </c>
    </row>
    <row r="775" spans="1:20" x14ac:dyDescent="0.25">
      <c r="A775" t="s">
        <v>1578</v>
      </c>
      <c r="B775" t="s">
        <v>790</v>
      </c>
      <c r="C775" s="1">
        <v>44765</v>
      </c>
      <c r="D775" s="1">
        <f>IF(E775="",C775+VLOOKUP(B775,Lembar2!$B$19:$C$24,2,FALSE),'Procurement Dataset'!E775)</f>
        <v>44776</v>
      </c>
      <c r="F775" t="s">
        <v>791</v>
      </c>
      <c r="G775" t="s">
        <v>796</v>
      </c>
      <c r="H775" s="5">
        <v>445</v>
      </c>
      <c r="I775" s="3">
        <v>68.94</v>
      </c>
      <c r="J775" s="3">
        <v>60.35</v>
      </c>
      <c r="K775" s="5">
        <f t="shared" si="85"/>
        <v>7</v>
      </c>
      <c r="L775">
        <v>7</v>
      </c>
      <c r="M775" t="s">
        <v>793</v>
      </c>
      <c r="N775" t="str">
        <f t="shared" si="84"/>
        <v/>
      </c>
      <c r="O775" t="str">
        <f t="shared" si="86"/>
        <v>Valid</v>
      </c>
      <c r="P775" s="1" t="str">
        <f>IF(N775&gt;=(VLOOKUP(B775,Lembar2!$B$19:$C$24,2,FALSE)+7),"Delayed","Ontime")</f>
        <v>Delayed</v>
      </c>
      <c r="Q775" s="3">
        <f t="shared" si="87"/>
        <v>30678.3</v>
      </c>
      <c r="R775" s="3">
        <f t="shared" si="88"/>
        <v>26855.75</v>
      </c>
      <c r="S775" s="3">
        <f t="shared" si="89"/>
        <v>3822.5499999999993</v>
      </c>
      <c r="T775">
        <f t="shared" si="90"/>
        <v>0</v>
      </c>
    </row>
    <row r="776" spans="1:20" x14ac:dyDescent="0.25">
      <c r="A776" t="s">
        <v>1579</v>
      </c>
      <c r="B776" t="s">
        <v>798</v>
      </c>
      <c r="C776" s="1">
        <v>44639</v>
      </c>
      <c r="D776" s="1">
        <f>IF(E776="",C776+VLOOKUP(B776,Lembar2!$B$19:$C$24,2,FALSE),'Procurement Dataset'!E776)</f>
        <v>44658</v>
      </c>
      <c r="E776" s="1">
        <v>44658</v>
      </c>
      <c r="F776" t="s">
        <v>804</v>
      </c>
      <c r="G776" t="s">
        <v>796</v>
      </c>
      <c r="H776" s="5">
        <v>494</v>
      </c>
      <c r="I776" s="3">
        <v>94.82</v>
      </c>
      <c r="J776" s="3">
        <v>81.89</v>
      </c>
      <c r="K776" s="5">
        <f t="shared" si="85"/>
        <v>29</v>
      </c>
      <c r="L776">
        <v>29</v>
      </c>
      <c r="M776" t="s">
        <v>793</v>
      </c>
      <c r="N776">
        <f t="shared" si="84"/>
        <v>19</v>
      </c>
      <c r="O776" t="str">
        <f t="shared" si="86"/>
        <v>Valid</v>
      </c>
      <c r="P776" s="1" t="str">
        <f>IF(N776&gt;=(VLOOKUP(B776,Lembar2!$B$19:$C$24,2,FALSE)+7),"Delayed","Ontime")</f>
        <v>Delayed</v>
      </c>
      <c r="Q776" s="3">
        <f t="shared" si="87"/>
        <v>46841.079999999994</v>
      </c>
      <c r="R776" s="3">
        <f t="shared" si="88"/>
        <v>40453.660000000003</v>
      </c>
      <c r="S776" s="3">
        <f t="shared" si="89"/>
        <v>6387.419999999991</v>
      </c>
      <c r="T776">
        <f t="shared" si="90"/>
        <v>0</v>
      </c>
    </row>
    <row r="777" spans="1:20" x14ac:dyDescent="0.25">
      <c r="A777" t="s">
        <v>1580</v>
      </c>
      <c r="B777" t="s">
        <v>801</v>
      </c>
      <c r="C777" s="1">
        <v>45168</v>
      </c>
      <c r="D777" s="1">
        <f>IF(E777="",C777+VLOOKUP(B777,Lembar2!$B$19:$C$24,2,FALSE),'Procurement Dataset'!E777)</f>
        <v>45180</v>
      </c>
      <c r="E777" s="1">
        <v>45180</v>
      </c>
      <c r="F777" t="s">
        <v>799</v>
      </c>
      <c r="G777" t="s">
        <v>796</v>
      </c>
      <c r="H777" s="5">
        <v>1306</v>
      </c>
      <c r="I777" s="3">
        <v>21.05</v>
      </c>
      <c r="J777" s="3">
        <v>18.27</v>
      </c>
      <c r="K777" s="5">
        <f t="shared" si="85"/>
        <v>128</v>
      </c>
      <c r="L777">
        <v>128</v>
      </c>
      <c r="M777" t="s">
        <v>793</v>
      </c>
      <c r="N777">
        <f t="shared" si="84"/>
        <v>12</v>
      </c>
      <c r="O777" t="str">
        <f t="shared" si="86"/>
        <v>Valid</v>
      </c>
      <c r="P777" s="1" t="str">
        <f>IF(N777&gt;=(VLOOKUP(B777,Lembar2!$B$19:$C$24,2,FALSE)+7),"Delayed","Ontime")</f>
        <v>Ontime</v>
      </c>
      <c r="Q777" s="3">
        <f t="shared" si="87"/>
        <v>27491.3</v>
      </c>
      <c r="R777" s="3">
        <f t="shared" si="88"/>
        <v>23860.62</v>
      </c>
      <c r="S777" s="3">
        <f t="shared" si="89"/>
        <v>3630.6800000000003</v>
      </c>
      <c r="T777">
        <f t="shared" si="90"/>
        <v>1</v>
      </c>
    </row>
    <row r="778" spans="1:20" x14ac:dyDescent="0.25">
      <c r="A778" t="s">
        <v>1581</v>
      </c>
      <c r="B778" t="s">
        <v>801</v>
      </c>
      <c r="C778" s="1">
        <v>45269</v>
      </c>
      <c r="D778" s="1">
        <f>IF(E778="",C778+VLOOKUP(B778,Lembar2!$B$19:$C$24,2,FALSE),'Procurement Dataset'!E778)</f>
        <v>45271</v>
      </c>
      <c r="E778" s="1">
        <v>45271</v>
      </c>
      <c r="F778" t="s">
        <v>791</v>
      </c>
      <c r="G778" t="s">
        <v>796</v>
      </c>
      <c r="H778" s="5">
        <v>1988</v>
      </c>
      <c r="I778" s="3">
        <v>105.2</v>
      </c>
      <c r="J778" s="3">
        <v>93.23</v>
      </c>
      <c r="K778" s="5">
        <f t="shared" si="85"/>
        <v>187</v>
      </c>
      <c r="L778">
        <v>187</v>
      </c>
      <c r="M778" t="s">
        <v>793</v>
      </c>
      <c r="N778">
        <f t="shared" si="84"/>
        <v>2</v>
      </c>
      <c r="O778" t="str">
        <f t="shared" si="86"/>
        <v>Valid</v>
      </c>
      <c r="P778" s="1" t="str">
        <f>IF(N778&gt;=(VLOOKUP(B778,Lembar2!$B$19:$C$24,2,FALSE)+7),"Delayed","Ontime")</f>
        <v>Ontime</v>
      </c>
      <c r="Q778" s="3">
        <f t="shared" si="87"/>
        <v>209137.6</v>
      </c>
      <c r="R778" s="3">
        <f t="shared" si="88"/>
        <v>185341.24000000002</v>
      </c>
      <c r="S778" s="3">
        <f t="shared" si="89"/>
        <v>23796.359999999986</v>
      </c>
      <c r="T778">
        <f t="shared" si="9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4FEA-33FC-4875-BDD3-4ABA262AA765}">
  <dimension ref="A1:C33"/>
  <sheetViews>
    <sheetView tabSelected="1" workbookViewId="0">
      <selection activeCell="C34" sqref="C34"/>
    </sheetView>
  </sheetViews>
  <sheetFormatPr defaultRowHeight="15" x14ac:dyDescent="0.25"/>
  <cols>
    <col min="1" max="1" width="25.7109375" bestFit="1" customWidth="1"/>
    <col min="2" max="2" width="19" bestFit="1" customWidth="1"/>
  </cols>
  <sheetData>
    <row r="1" spans="1:3" x14ac:dyDescent="0.25">
      <c r="A1" s="2" t="s">
        <v>1583</v>
      </c>
    </row>
    <row r="3" spans="1:3" x14ac:dyDescent="0.25">
      <c r="A3" s="2" t="s">
        <v>1582</v>
      </c>
    </row>
    <row r="4" spans="1:3" x14ac:dyDescent="0.25">
      <c r="A4" t="s">
        <v>778</v>
      </c>
      <c r="B4">
        <f>COUNTBLANK('Procurement Dataset'!A$1:A$778)</f>
        <v>0</v>
      </c>
    </row>
    <row r="5" spans="1:3" x14ac:dyDescent="0.25">
      <c r="A5" t="s">
        <v>779</v>
      </c>
      <c r="B5">
        <f>COUNTBLANK('Procurement Dataset'!B$1:B$778)</f>
        <v>0</v>
      </c>
    </row>
    <row r="6" spans="1:3" x14ac:dyDescent="0.25">
      <c r="A6" t="s">
        <v>780</v>
      </c>
      <c r="B6">
        <f>COUNTBLANK('Procurement Dataset'!C$1:C$778)</f>
        <v>0</v>
      </c>
    </row>
    <row r="7" spans="1:3" x14ac:dyDescent="0.25">
      <c r="A7" t="s">
        <v>781</v>
      </c>
      <c r="B7">
        <f>COUNTBLANK('Procurement Dataset'!E$1:E$778)</f>
        <v>87</v>
      </c>
    </row>
    <row r="8" spans="1:3" x14ac:dyDescent="0.25">
      <c r="A8" t="s">
        <v>782</v>
      </c>
      <c r="B8">
        <f>COUNTBLANK('Procurement Dataset'!F$1:F$778)</f>
        <v>0</v>
      </c>
    </row>
    <row r="9" spans="1:3" x14ac:dyDescent="0.25">
      <c r="A9" t="s">
        <v>783</v>
      </c>
      <c r="B9">
        <f>COUNTBLANK('Procurement Dataset'!G$1:G$778)</f>
        <v>0</v>
      </c>
    </row>
    <row r="10" spans="1:3" x14ac:dyDescent="0.25">
      <c r="A10" t="s">
        <v>784</v>
      </c>
      <c r="B10">
        <f>COUNTBLANK('Procurement Dataset'!H$1:H$778)</f>
        <v>0</v>
      </c>
    </row>
    <row r="11" spans="1:3" x14ac:dyDescent="0.25">
      <c r="A11" t="s">
        <v>785</v>
      </c>
      <c r="B11">
        <f>COUNTBLANK('Procurement Dataset'!I$1:I$778)</f>
        <v>0</v>
      </c>
    </row>
    <row r="12" spans="1:3" x14ac:dyDescent="0.25">
      <c r="A12" t="s">
        <v>786</v>
      </c>
      <c r="B12">
        <f>COUNTBLANK('Procurement Dataset'!J$1:J$778)</f>
        <v>0</v>
      </c>
    </row>
    <row r="13" spans="1:3" x14ac:dyDescent="0.25">
      <c r="A13" t="s">
        <v>787</v>
      </c>
      <c r="B13">
        <f>COUNTBLANK('Procurement Dataset'!L$1:L$778)</f>
        <v>136</v>
      </c>
    </row>
    <row r="14" spans="1:3" x14ac:dyDescent="0.25">
      <c r="A14" t="s">
        <v>788</v>
      </c>
      <c r="B14">
        <f>COUNTBLANK('Procurement Dataset'!M$1:M$778)</f>
        <v>0</v>
      </c>
    </row>
    <row r="15" spans="1:3" x14ac:dyDescent="0.25">
      <c r="A15" s="2" t="s">
        <v>1584</v>
      </c>
    </row>
    <row r="16" spans="1:3" x14ac:dyDescent="0.25">
      <c r="A16" t="s">
        <v>781</v>
      </c>
      <c r="B16" t="s">
        <v>1586</v>
      </c>
      <c r="C16" t="s">
        <v>1603</v>
      </c>
    </row>
    <row r="17" spans="1:3" x14ac:dyDescent="0.25">
      <c r="B17" t="s">
        <v>1587</v>
      </c>
    </row>
    <row r="18" spans="1:3" x14ac:dyDescent="0.25">
      <c r="B18" s="4" t="s">
        <v>779</v>
      </c>
      <c r="C18" s="4" t="s">
        <v>1590</v>
      </c>
    </row>
    <row r="19" spans="1:3" x14ac:dyDescent="0.25">
      <c r="B19" s="4" t="s">
        <v>790</v>
      </c>
      <c r="C19" s="4">
        <f t="array" ref="C19">MEDIAN(IF('Procurement Dataset'!$B$2:$B$778=B19,'Procurement Dataset'!$N$2:$N$778))</f>
        <v>11</v>
      </c>
    </row>
    <row r="20" spans="1:3" x14ac:dyDescent="0.25">
      <c r="B20" s="4" t="s">
        <v>795</v>
      </c>
      <c r="C20" s="4">
        <f t="array" ref="C20">MEDIAN(IF('Procurement Dataset'!$B$2:$B$778=B20,'Procurement Dataset'!$N$2:$N$778))</f>
        <v>11</v>
      </c>
    </row>
    <row r="21" spans="1:3" x14ac:dyDescent="0.25">
      <c r="B21" s="4" t="s">
        <v>798</v>
      </c>
      <c r="C21" s="4">
        <f t="array" ref="C21">MEDIAN(IF('Procurement Dataset'!$B$2:$B$778=B21,'Procurement Dataset'!$N$2:$N$778))</f>
        <v>10</v>
      </c>
    </row>
    <row r="22" spans="1:3" x14ac:dyDescent="0.25">
      <c r="B22" s="4" t="s">
        <v>801</v>
      </c>
      <c r="C22" s="4">
        <f t="array" ref="C22">MEDIAN(IF('Procurement Dataset'!$B$2:$B$778=B22,'Procurement Dataset'!$N$2:$N$778))</f>
        <v>12</v>
      </c>
    </row>
    <row r="23" spans="1:3" x14ac:dyDescent="0.25">
      <c r="B23" s="4" t="s">
        <v>807</v>
      </c>
      <c r="C23" s="4">
        <f t="array" ref="C23">MEDIAN(IF('Procurement Dataset'!$B$2:$B$778=B23,'Procurement Dataset'!$N$2:$N$778))</f>
        <v>11</v>
      </c>
    </row>
    <row r="24" spans="1:3" x14ac:dyDescent="0.25">
      <c r="B24" s="4" t="s">
        <v>790</v>
      </c>
      <c r="C24" s="4">
        <f t="array" ref="C24">MEDIAN(IF('Procurement Dataset'!$B$2:$B$778=B24,'Procurement Dataset'!$N$2:$N$778))</f>
        <v>11</v>
      </c>
    </row>
    <row r="25" spans="1:3" x14ac:dyDescent="0.25">
      <c r="B25" t="s">
        <v>1591</v>
      </c>
    </row>
    <row r="26" spans="1:3" x14ac:dyDescent="0.25">
      <c r="A26" t="s">
        <v>787</v>
      </c>
      <c r="B26" t="s">
        <v>1592</v>
      </c>
    </row>
    <row r="27" spans="1:3" x14ac:dyDescent="0.25">
      <c r="A27" s="2" t="s">
        <v>1593</v>
      </c>
      <c r="B27" t="s">
        <v>1594</v>
      </c>
    </row>
    <row r="28" spans="1:3" x14ac:dyDescent="0.25">
      <c r="A28" s="2" t="s">
        <v>1596</v>
      </c>
      <c r="B28" t="s">
        <v>1597</v>
      </c>
    </row>
    <row r="29" spans="1:3" x14ac:dyDescent="0.25">
      <c r="A29" s="2" t="s">
        <v>1604</v>
      </c>
      <c r="B29" t="s">
        <v>1605</v>
      </c>
      <c r="C29" t="s">
        <v>1606</v>
      </c>
    </row>
    <row r="30" spans="1:3" x14ac:dyDescent="0.25">
      <c r="B30" t="s">
        <v>1607</v>
      </c>
      <c r="C30" t="s">
        <v>1608</v>
      </c>
    </row>
    <row r="31" spans="1:3" x14ac:dyDescent="0.25">
      <c r="B31" t="s">
        <v>1609</v>
      </c>
      <c r="C31" t="s">
        <v>1610</v>
      </c>
    </row>
    <row r="32" spans="1:3" x14ac:dyDescent="0.25">
      <c r="B32" t="s">
        <v>1601</v>
      </c>
      <c r="C32" t="s">
        <v>1611</v>
      </c>
    </row>
    <row r="33" spans="2:3" x14ac:dyDescent="0.25">
      <c r="B33" t="s">
        <v>1602</v>
      </c>
      <c r="C33" t="s">
        <v>1612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AAED27-8A2F-4BCE-919A-3024855496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3</vt:i4>
      </vt:variant>
      <vt:variant>
        <vt:lpstr>Rentang Bernama</vt:lpstr>
      </vt:variant>
      <vt:variant>
        <vt:i4>1</vt:i4>
      </vt:variant>
    </vt:vector>
  </HeadingPairs>
  <TitlesOfParts>
    <vt:vector size="4" baseType="lpstr">
      <vt:lpstr>raw data</vt:lpstr>
      <vt:lpstr>Procurement Dataset</vt:lpstr>
      <vt:lpstr>Lembar2</vt:lpstr>
      <vt:lpstr>'Procurement Dataset'!Ekstrak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 Anggi Tri Kusumaningsih</cp:lastModifiedBy>
  <dcterms:created xsi:type="dcterms:W3CDTF">2026-05-25T16:45:55Z</dcterms:created>
  <dcterms:modified xsi:type="dcterms:W3CDTF">2026-06-02T13:23:54Z</dcterms:modified>
</cp:coreProperties>
</file>